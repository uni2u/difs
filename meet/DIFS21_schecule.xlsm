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0" codeName="{3D1A710C-6663-3D7B-7F91-EC182F24A4BC}"/>
  <workbookPr codeName="ThisWorkbook"/>
  <mc:AlternateContent xmlns:mc="http://schemas.openxmlformats.org/markup-compatibility/2006">
    <mc:Choice Requires="x15">
      <x15ac:absPath xmlns:x15ac="http://schemas.microsoft.com/office/spreadsheetml/2010/11/ac" url="C:\Users\uni2u\Desktop\"/>
    </mc:Choice>
  </mc:AlternateContent>
  <xr:revisionPtr revIDLastSave="0" documentId="13_ncr:1_{82F2E67A-B5A3-4298-87DB-0C318A02732A}" xr6:coauthVersionLast="36" xr6:coauthVersionMax="45" xr10:uidLastSave="{00000000-0000-0000-0000-000000000000}"/>
  <bookViews>
    <workbookView xWindow="-120" yWindow="-120" windowWidth="29040" windowHeight="1599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Schedule!$D$1:$CQ$81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Calendar!$B$5:$B$292</definedName>
    <definedName name="TOTAL_WORKLOAD">Progress!$B$6</definedName>
    <definedName name="UD_CAL1">Calendar!$E$5:$E$292</definedName>
    <definedName name="UD_CAL2">Calendar!$H$5:$H$292</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5" i="2" l="1"/>
  <c r="CF5" i="2"/>
  <c r="AF6" i="2"/>
  <c r="CF6" i="2"/>
  <c r="AF7" i="2"/>
  <c r="AO7" i="2"/>
  <c r="AF8" i="2"/>
  <c r="AO8" i="2"/>
  <c r="AO9" i="2"/>
  <c r="AW9" i="2"/>
  <c r="AO10" i="2"/>
  <c r="AS10" i="2"/>
  <c r="AS11" i="2"/>
  <c r="AW11" i="2"/>
  <c r="AW12" i="2"/>
  <c r="BS12" i="2"/>
  <c r="AW13" i="2"/>
  <c r="BS13" i="2"/>
  <c r="BS14" i="2"/>
  <c r="CB14" i="2"/>
  <c r="BS15" i="2"/>
  <c r="CB15" i="2"/>
  <c r="BX16" i="2"/>
  <c r="CF16" i="2"/>
  <c r="BX17" i="2"/>
  <c r="CB17" i="2"/>
  <c r="CB18" i="2"/>
  <c r="CF18" i="2"/>
  <c r="AF19" i="2"/>
  <c r="CF19" i="2"/>
  <c r="AF20" i="2"/>
  <c r="AS20" i="2"/>
  <c r="AF21" i="2"/>
  <c r="AO21" i="2"/>
  <c r="AO22" i="2"/>
  <c r="AS22" i="2"/>
  <c r="AO23" i="2"/>
  <c r="AS23" i="2"/>
  <c r="AS24" i="2"/>
  <c r="BF24" i="2"/>
  <c r="AS25" i="2"/>
  <c r="BF25" i="2"/>
  <c r="AS26" i="2"/>
  <c r="BF26" i="2"/>
  <c r="AS27" i="2"/>
  <c r="BF27" i="2"/>
  <c r="BF28" i="2"/>
  <c r="BK28" i="2"/>
  <c r="BF29" i="2"/>
  <c r="BK29" i="2"/>
  <c r="BK30" i="2"/>
  <c r="CF30" i="2"/>
  <c r="BK31" i="2"/>
  <c r="CB31" i="2"/>
  <c r="BX32" i="2"/>
  <c r="CF32" i="2"/>
  <c r="BB33" i="2"/>
  <c r="BO33" i="2"/>
  <c r="BB34" i="2"/>
  <c r="BF34" i="2"/>
  <c r="BB35" i="2"/>
  <c r="BF35" i="2"/>
  <c r="BF36" i="2"/>
  <c r="BK36" i="2"/>
  <c r="BF37" i="2"/>
  <c r="BK37" i="2"/>
  <c r="BF38" i="2"/>
  <c r="BK38" i="2"/>
  <c r="BK39" i="2"/>
  <c r="BO39" i="2"/>
  <c r="BK40" i="2"/>
  <c r="BO40" i="2"/>
  <c r="BK41" i="2"/>
  <c r="BX41" i="2"/>
  <c r="BK42" i="2"/>
  <c r="BO42" i="2"/>
  <c r="BK43" i="2"/>
  <c r="BO43" i="2"/>
  <c r="BO44" i="2"/>
  <c r="BS44" i="2"/>
  <c r="BO45" i="2"/>
  <c r="BS45" i="2"/>
  <c r="BS46" i="2"/>
  <c r="BX46" i="2"/>
  <c r="BS47" i="2"/>
  <c r="BX47" i="2"/>
  <c r="AF48" i="2"/>
  <c r="CF48" i="2"/>
  <c r="AF49" i="2"/>
  <c r="CF49" i="2"/>
  <c r="AF50" i="2"/>
  <c r="AS50" i="2"/>
  <c r="AF51" i="2"/>
  <c r="AO51" i="2"/>
  <c r="AO52" i="2"/>
  <c r="AS52" i="2"/>
  <c r="BF53" i="2"/>
  <c r="CF53" i="2"/>
  <c r="BF54" i="2"/>
  <c r="BK54" i="2"/>
  <c r="BK55" i="2"/>
  <c r="BO55" i="2"/>
  <c r="BF56" i="2"/>
  <c r="BK56" i="2"/>
  <c r="BK57" i="2"/>
  <c r="BO57" i="2"/>
  <c r="BF58" i="2"/>
  <c r="BK58" i="2"/>
  <c r="BK59" i="2"/>
  <c r="BO59" i="2"/>
  <c r="BX60" i="2"/>
  <c r="CB60" i="2"/>
  <c r="CB61" i="2"/>
  <c r="CF61" i="2"/>
  <c r="AS62" i="2"/>
  <c r="CF62" i="2"/>
  <c r="AS63" i="2"/>
  <c r="BB63" i="2"/>
  <c r="AS64" i="2"/>
  <c r="AW64" i="2"/>
  <c r="AS65" i="2"/>
  <c r="AW65" i="2"/>
  <c r="AW66" i="2"/>
  <c r="BB66" i="2"/>
  <c r="AW67" i="2"/>
  <c r="BB67" i="2"/>
  <c r="BX68" i="2"/>
  <c r="CF68" i="2"/>
  <c r="BX69" i="2"/>
  <c r="CB69" i="2"/>
  <c r="BX70" i="2"/>
  <c r="CB70" i="2"/>
  <c r="CB71" i="2"/>
  <c r="CF71" i="2"/>
  <c r="CB72" i="2"/>
  <c r="CF72" i="2"/>
  <c r="AO73" i="2"/>
  <c r="BO73" i="2"/>
  <c r="AO74" i="2"/>
  <c r="BO74" i="2"/>
  <c r="AO75" i="2"/>
  <c r="BO75" i="2"/>
  <c r="AO76" i="2"/>
  <c r="AW76" i="2"/>
  <c r="BK77" i="2"/>
  <c r="BO77" i="2"/>
  <c r="BB78" i="2"/>
  <c r="BF78" i="2"/>
  <c r="BB79" i="2"/>
  <c r="BF79" i="2"/>
  <c r="BB80" i="2"/>
  <c r="BF80" i="2"/>
  <c r="BB81" i="2"/>
  <c r="BF81" i="2"/>
  <c r="L55" i="4" l="1"/>
  <c r="L54" i="4"/>
  <c r="L53" i="4"/>
  <c r="L52" i="4"/>
  <c r="L51" i="4"/>
  <c r="L50" i="4"/>
  <c r="L49" i="4"/>
  <c r="L48" i="4"/>
  <c r="L47" i="4"/>
  <c r="L46" i="4"/>
  <c r="L45" i="4"/>
  <c r="L44" i="4"/>
  <c r="L43" i="4"/>
  <c r="L42" i="4"/>
  <c r="L41" i="4"/>
  <c r="L40" i="4"/>
  <c r="L39" i="4"/>
  <c r="L38" i="4"/>
  <c r="L37" i="4"/>
  <c r="L36" i="4"/>
  <c r="L35" i="4"/>
  <c r="L34" i="4"/>
  <c r="L33" i="4"/>
  <c r="L31" i="4"/>
  <c r="L30" i="4"/>
  <c r="L29" i="4"/>
  <c r="L28" i="4"/>
  <c r="L27" i="4"/>
  <c r="L26" i="4"/>
  <c r="L25" i="4"/>
  <c r="L24" i="4"/>
  <c r="L23" i="4"/>
  <c r="L22" i="4"/>
  <c r="L21" i="4"/>
  <c r="L20" i="4"/>
  <c r="L19" i="4"/>
  <c r="L18" i="4"/>
  <c r="L17" i="4"/>
  <c r="L16" i="4"/>
  <c r="L15" i="4"/>
  <c r="L14" i="4"/>
  <c r="L13" i="4"/>
  <c r="L12" i="4"/>
  <c r="L11" i="4"/>
  <c r="L10" i="4"/>
  <c r="L9" i="4"/>
  <c r="L8" i="4"/>
  <c r="L7" i="4"/>
  <c r="I56" i="4"/>
  <c r="K56" i="4" s="1"/>
  <c r="L56" i="4" s="1"/>
  <c r="H56" i="4"/>
  <c r="J56" i="4" s="1"/>
  <c r="G56" i="4"/>
  <c r="I32" i="4"/>
  <c r="H32" i="4"/>
  <c r="H58" i="4" s="1"/>
  <c r="G32" i="4"/>
  <c r="D1" i="2"/>
  <c r="J32" i="4" l="1"/>
  <c r="J58" i="4"/>
  <c r="I58" i="4"/>
  <c r="K58" i="4" s="1"/>
  <c r="L58" i="4" s="1"/>
  <c r="G58" i="4"/>
  <c r="K32" i="4"/>
  <c r="L32"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AE2" i="2" a="1"/>
  <c r="AE1" i="2" a="1"/>
  <c r="AE2" i="2" l="1"/>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<sst xmlns="http://schemas.openxmlformats.org/spreadsheetml/2006/main" count="2551" uniqueCount="1553">
  <si>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</si>
  <si>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</si>
  <si>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</si>
  <si>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</si>
  <si>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</si>
  <si>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</si>
  <si>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</si>
  <si>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</si>
  <si>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</si>
  <si>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</si>
  <si>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</si>
  <si>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</si>
  <si>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</si>
  <si>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</si>
  <si>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</si>
  <si>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</si>
  <si>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</si>
  <si>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</si>
  <si>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</si>
  <si>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</si>
  <si>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</si>
  <si>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</si>
  <si>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</si>
  <si>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</si>
  <si>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</si>
  <si>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</si>
  <si>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</si>
  <si>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</si>
  <si>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</si>
  <si>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</si>
  <si>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</si>
  <si>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</si>
  <si>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</si>
  <si>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</si>
  <si>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</si>
  <si>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</si>
  <si>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</si>
  <si>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</si>
  <si>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</si>
  <si>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</si>
  <si>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</si>
  <si>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</si>
  <si>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</si>
  <si>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</si>
  <si>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</si>
  <si>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</si>
  <si>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</si>
  <si>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</si>
  <si>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</si>
  <si>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</si>
  <si>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</si>
  <si>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</si>
  <si>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</si>
  <si>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</si>
  <si>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</si>
  <si>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</si>
  <si>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</si>
  <si>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</si>
  <si>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</si>
  <si>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</si>
  <si>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</si>
  <si>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</si>
  <si>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</si>
  <si>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</si>
  <si>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</si>
  <si>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</si>
  <si>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</si>
  <si>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</si>
  <si>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</si>
  <si>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</si>
  <si>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</si>
  <si>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</si>
  <si>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</si>
  <si>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</si>
  <si>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</si>
  <si>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</si>
  <si>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</si>
  <si>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</si>
  <si>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</si>
  <si>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</si>
  <si>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</si>
  <si>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</si>
  <si>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</si>
  <si>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</si>
  <si>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</si>
  <si>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</si>
  <si>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</si>
  <si>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</si>
  <si>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</si>
  <si>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</si>
  <si>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</si>
  <si>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</si>
  <si>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</si>
  <si>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</si>
  <si>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</si>
  <si>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</si>
  <si>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</si>
  <si>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</si>
  <si>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</si>
  <si>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</si>
  <si>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</si>
  <si>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</si>
  <si>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</si>
  <si>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</si>
  <si>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</si>
  <si>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</si>
  <si>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</si>
  <si>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</si>
  <si>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</si>
  <si>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</si>
  <si>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</si>
  <si>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</si>
  <si>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</si>
  <si>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</si>
  <si>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</si>
  <si>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</si>
  <si>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</si>
  <si>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</si>
  <si>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</si>
  <si>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</si>
  <si>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</si>
  <si>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</si>
  <si>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</si>
  <si>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</si>
  <si>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</si>
  <si>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</si>
  <si>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</si>
  <si>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</si>
  <si>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</si>
  <si>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</si>
  <si>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</si>
  <si>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</si>
  <si>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</si>
  <si>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</si>
  <si>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</si>
  <si>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</si>
  <si>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</si>
  <si>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</si>
  <si>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</si>
  <si>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</si>
  <si>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</si>
  <si>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</si>
  <si>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</si>
  <si>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</si>
  <si>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</si>
  <si>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</si>
  <si>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</si>
  <si>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</si>
  <si>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</si>
  <si>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</si>
  <si>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</si>
  <si>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</si>
  <si>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</si>
  <si>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</si>
  <si>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</si>
  <si>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</si>
  <si>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</si>
  <si>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</si>
  <si>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</si>
  <si>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</si>
  <si>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</si>
  <si>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</si>
  <si>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</si>
  <si>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</si>
  <si>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</si>
  <si>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</si>
  <si>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</si>
  <si>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</si>
  <si>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</si>
  <si>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</si>
  <si>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</si>
  <si>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</si>
  <si>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</si>
  <si>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</si>
  <si>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</si>
  <si>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</si>
  <si>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</si>
  <si>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</si>
  <si>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</si>
  <si>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</si>
  <si>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</si>
  <si>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</si>
  <si>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</si>
  <si>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</si>
  <si>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</si>
  <si>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</si>
  <si>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</si>
  <si>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</si>
  <si>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</si>
  <si>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</si>
  <si>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</si>
  <si>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</si>
  <si>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</si>
  <si>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</si>
  <si>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</si>
  <si>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</si>
  <si>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</si>
  <si>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</si>
  <si>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</si>
  <si>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</si>
  <si>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</si>
  <si>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</si>
  <si>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</si>
  <si>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</si>
  <si>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</si>
  <si>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</si>
  <si>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</si>
  <si>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</si>
  <si>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</si>
  <si>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</si>
  <si>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</si>
  <si>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</si>
  <si>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</si>
  <si>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</si>
  <si>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</si>
  <si>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</si>
  <si>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</si>
  <si>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</si>
  <si>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</si>
  <si>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</si>
  <si>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</si>
  <si>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</si>
  <si>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</si>
  <si>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</si>
  <si>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</si>
  <si>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</si>
  <si>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</si>
  <si>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</si>
  <si>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</si>
  <si>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</si>
  <si>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</si>
  <si>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</si>
  <si>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</si>
  <si>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</si>
  <si>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</si>
  <si>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</si>
  <si>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</si>
  <si>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</si>
  <si>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</si>
  <si>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</si>
  <si>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</si>
  <si>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</si>
  <si>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</si>
  <si>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</si>
  <si>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</si>
  <si>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</si>
  <si>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</si>
  <si>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</si>
  <si>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</si>
  <si>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</si>
  <si>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</si>
  <si>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</si>
  <si>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</si>
  <si>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</si>
  <si>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</si>
  <si>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</si>
  <si>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</si>
  <si>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</si>
  <si>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</si>
  <si>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</si>
  <si>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</si>
  <si>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</si>
  <si>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</si>
  <si>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</si>
  <si>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</si>
  <si>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</si>
  <si>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</si>
  <si>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</si>
  <si>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</si>
  <si>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</si>
  <si>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</si>
  <si>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</si>
  <si>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</si>
  <si>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</si>
  <si>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</si>
  <si>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</si>
  <si>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</si>
  <si>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</si>
  <si>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</si>
  <si>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</si>
  <si>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</si>
  <si>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</si>
  <si>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</si>
  <si>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</si>
  <si>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</si>
  <si>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</si>
  <si>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</si>
  <si>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</si>
  <si>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</si>
  <si>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</si>
  <si>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</si>
  <si>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</si>
  <si>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</si>
  <si>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</si>
  <si>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</si>
  <si>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</si>
  <si>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</si>
  <si>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</si>
  <si>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</si>
  <si>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</si>
  <si>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</si>
  <si>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</si>
  <si>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</si>
  <si>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</si>
  <si>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</si>
  <si>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</si>
  <si>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</si>
  <si>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</si>
  <si>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</si>
  <si>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</si>
  <si>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</si>
  <si>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</si>
  <si>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</si>
  <si>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</si>
  <si>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</si>
  <si>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</si>
  <si>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</si>
  <si>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</si>
  <si>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</si>
  <si>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</si>
  <si>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</si>
  <si>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</si>
  <si>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</si>
  <si>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</si>
  <si>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</si>
  <si>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</si>
  <si>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</si>
  <si>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</si>
  <si>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</si>
  <si>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</si>
  <si>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</si>
  <si>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</si>
  <si>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</si>
  <si>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</si>
  <si>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</si>
  <si>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</si>
  <si>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</si>
  <si>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</si>
  <si>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</si>
  <si>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</si>
  <si>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</si>
  <si>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</si>
  <si>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</si>
  <si>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</si>
  <si>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</si>
  <si>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</si>
  <si>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</si>
  <si>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</si>
  <si>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</si>
  <si>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</si>
  <si>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</si>
  <si>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</si>
  <si>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</si>
  <si>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</si>
  <si>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</si>
  <si>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</si>
  <si>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</si>
  <si>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</si>
  <si>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</si>
  <si>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</si>
  <si>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</si>
  <si>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</si>
  <si>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</si>
  <si>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</si>
  <si>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</si>
  <si>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</si>
  <si>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</si>
  <si>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</si>
  <si>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</si>
  <si>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</si>
  <si>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</si>
  <si>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</si>
  <si>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</si>
  <si>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</si>
  <si>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</si>
  <si>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</si>
  <si>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</si>
  <si>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</si>
  <si>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</si>
  <si>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</si>
  <si>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</si>
  <si>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</si>
  <si>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</si>
  <si>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</si>
  <si>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</si>
  <si>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</si>
  <si>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</si>
  <si>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</si>
  <si>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</si>
  <si>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</si>
  <si>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</si>
  <si>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</si>
  <si>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</si>
  <si>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</si>
  <si>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</si>
  <si>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</si>
  <si>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</si>
  <si>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</si>
  <si>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</si>
  <si>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</si>
  <si>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</si>
  <si>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</si>
  <si>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</si>
  <si>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</si>
  <si>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</si>
  <si>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</si>
  <si>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</si>
  <si>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</si>
  <si>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</si>
  <si>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</si>
  <si>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</si>
  <si>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</si>
  <si>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</si>
  <si>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</si>
  <si>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</si>
  <si>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</si>
  <si>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</si>
  <si>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</si>
  <si>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</si>
  <si>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</si>
  <si>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</si>
  <si>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</si>
  <si>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</si>
  <si>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</si>
  <si>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</si>
  <si>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</si>
  <si>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</si>
  <si>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</si>
  <si>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</si>
  <si>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</si>
  <si>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</si>
  <si>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</si>
  <si>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</si>
  <si>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</si>
  <si>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</si>
  <si>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</si>
  <si>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</si>
  <si>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</si>
  <si>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</si>
  <si>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</si>
  <si>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</si>
  <si>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</si>
  <si>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</si>
  <si>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</si>
  <si>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</si>
  <si>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</si>
  <si>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</si>
  <si>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</si>
  <si>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</si>
  <si>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</si>
  <si>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</si>
  <si>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</si>
  <si>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</si>
  <si>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</si>
  <si>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</si>
  <si>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</si>
  <si>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</si>
  <si>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</si>
  <si>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</si>
  <si>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</si>
  <si>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</si>
  <si>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</si>
  <si>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</si>
  <si>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</si>
  <si>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</si>
  <si>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</si>
  <si>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</si>
  <si>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</si>
  <si>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</si>
  <si>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</si>
  <si>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</si>
  <si>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</si>
  <si>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</si>
  <si>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</si>
  <si>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</si>
  <si>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</si>
  <si>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</si>
  <si>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</si>
  <si>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</si>
  <si>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</si>
  <si>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</si>
  <si>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</si>
  <si>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</si>
  <si>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</si>
  <si>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</si>
  <si>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</si>
  <si>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</si>
  <si>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</si>
  <si>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</si>
  <si>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</si>
  <si>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</si>
  <si>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</si>
  <si>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</si>
  <si>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</si>
  <si>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</si>
  <si>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</si>
  <si>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</si>
  <si>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</si>
  <si>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</si>
  <si>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</si>
  <si>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</si>
  <si>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</si>
  <si>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</si>
  <si>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</si>
  <si>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</si>
  <si>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</si>
  <si>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</si>
  <si>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</si>
  <si>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</si>
  <si>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</si>
  <si>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</si>
  <si>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</si>
  <si>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</si>
  <si>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</si>
  <si>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</si>
  <si>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</si>
  <si>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</si>
  <si>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</si>
  <si>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</si>
  <si>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</si>
  <si>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</si>
  <si>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</si>
  <si>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</si>
  <si>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</si>
  <si>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</si>
  <si>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</si>
  <si>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</si>
  <si>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</si>
  <si>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</si>
  <si>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</si>
  <si>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</si>
  <si>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</si>
  <si>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</si>
  <si>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</si>
  <si>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</si>
  <si>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</si>
  <si>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</si>
  <si>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</si>
  <si>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</si>
  <si>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</si>
  <si>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</si>
  <si>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</si>
  <si>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</si>
  <si>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</si>
  <si>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</si>
  <si>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</si>
  <si>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</si>
  <si>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</si>
  <si>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</si>
  <si>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</si>
  <si>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</si>
  <si>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</si>
  <si>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</si>
  <si>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</si>
  <si>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</si>
  <si>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</si>
  <si>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</si>
  <si>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</si>
  <si>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</si>
  <si>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</si>
  <si>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</si>
  <si>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</si>
  <si>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</si>
  <si>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</si>
  <si>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</si>
  <si>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</si>
  <si>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</si>
  <si>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</si>
  <si>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</si>
  <si>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</si>
  <si>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</si>
  <si>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</si>
  <si>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</si>
  <si>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</si>
  <si>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</si>
  <si>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</si>
  <si>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</si>
  <si>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</si>
  <si>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</si>
  <si>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</si>
  <si>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</si>
  <si>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</si>
  <si>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</si>
  <si>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</si>
  <si>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</si>
  <si>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</si>
  <si>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</si>
  <si>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</si>
  <si>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</si>
  <si>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</si>
  <si>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</si>
  <si>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</si>
  <si>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</si>
  <si>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</si>
  <si>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</si>
  <si>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</si>
  <si>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</si>
  <si>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</si>
  <si>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</si>
  <si>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</si>
  <si>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</si>
  <si>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</si>
  <si>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</si>
  <si>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</si>
  <si>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</si>
  <si>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</si>
  <si>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</si>
  <si>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</si>
  <si>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</si>
  <si>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</si>
  <si>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</si>
  <si>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</si>
  <si>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</si>
  <si>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</si>
  <si>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</si>
  <si>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</si>
  <si>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</si>
  <si>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</si>
  <si>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</si>
  <si>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</si>
  <si>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</si>
  <si>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</si>
  <si>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</si>
  <si>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</si>
  <si>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</si>
  <si>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</si>
  <si>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</si>
  <si>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</si>
  <si>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</si>
  <si>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</si>
  <si>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</si>
  <si>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</si>
  <si>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</si>
  <si>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</si>
  <si>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</si>
  <si>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</si>
  <si>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</si>
  <si>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</si>
  <si>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</si>
  <si>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</si>
  <si>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</si>
  <si>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</si>
  <si>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</si>
  <si>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</si>
  <si>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</si>
  <si>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</si>
  <si>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</si>
  <si>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</si>
  <si>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</si>
  <si>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</si>
  <si>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</si>
  <si>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</si>
  <si>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</si>
  <si>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</si>
  <si>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</si>
  <si>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</si>
  <si>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</si>
  <si>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</si>
  <si>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</si>
  <si>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</si>
  <si>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</si>
  <si>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</si>
  <si>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</si>
  <si>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</si>
  <si>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</si>
  <si>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</si>
  <si>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</si>
  <si>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</si>
  <si>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</si>
  <si>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</si>
  <si>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</si>
  <si>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</si>
  <si>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</si>
  <si>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</si>
  <si>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</si>
  <si>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</si>
  <si>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</si>
  <si>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</si>
  <si>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</si>
  <si>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</si>
  <si>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</si>
  <si>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</si>
  <si>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</si>
  <si>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</si>
  <si>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</si>
  <si>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</si>
  <si>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</si>
  <si>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</si>
  <si>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</si>
  <si>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</si>
  <si>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</si>
  <si>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</si>
  <si>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</si>
  <si>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</si>
  <si>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</si>
  <si>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</si>
  <si>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</si>
  <si>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</si>
  <si>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</si>
  <si>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</si>
  <si>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</si>
  <si>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</si>
  <si>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</si>
  <si>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</si>
  <si>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</si>
  <si>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</si>
  <si>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</si>
  <si>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</si>
  <si>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</si>
  <si>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</si>
  <si>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</si>
  <si>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</si>
  <si>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</si>
  <si>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</si>
  <si>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</si>
  <si>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</si>
  <si>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</si>
  <si>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</si>
  <si>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</si>
  <si>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</si>
  <si>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</si>
  <si>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</si>
  <si>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</si>
  <si>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</si>
  <si>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</si>
  <si>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</si>
  <si>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</si>
  <si>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</si>
  <si>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</si>
  <si>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</si>
  <si>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</si>
  <si>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</si>
  <si>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</si>
  <si>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</si>
  <si>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</si>
  <si>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</si>
  <si>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</si>
  <si>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</si>
  <si>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</si>
  <si>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</si>
  <si>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</si>
  <si>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</si>
  <si>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</si>
  <si>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</si>
  <si>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</si>
  <si>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</si>
  <si>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</si>
  <si>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</si>
  <si>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</si>
  <si>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</si>
  <si>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</si>
  <si>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</si>
  <si>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</si>
  <si>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</si>
  <si>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</si>
  <si>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</si>
  <si>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</si>
  <si>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</si>
  <si>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</si>
  <si>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</si>
  <si>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</si>
  <si>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</si>
  <si>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</si>
  <si>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</si>
  <si>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</si>
  <si>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</si>
  <si>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</si>
  <si>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</si>
  <si>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</si>
  <si>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</si>
  <si>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</si>
  <si>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</si>
  <si>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</si>
  <si>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</si>
  <si>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</si>
  <si>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</si>
  <si>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</si>
  <si>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</si>
  <si>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</si>
  <si>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</si>
  <si>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</si>
  <si>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</si>
  <si>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</si>
  <si>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</si>
  <si>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</si>
  <si>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</si>
  <si>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</si>
  <si>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</si>
  <si>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</si>
  <si>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</si>
  <si>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</si>
  <si>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</si>
  <si>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</si>
  <si>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</si>
  <si>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</si>
  <si>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</si>
  <si>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</si>
  <si>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</si>
  <si>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</si>
  <si>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</si>
  <si>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</si>
  <si>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</si>
  <si>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</si>
  <si>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</si>
  <si>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</si>
  <si>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</si>
  <si>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</si>
  <si>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</si>
  <si>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</si>
  <si>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</si>
  <si>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</si>
  <si>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</si>
  <si>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</si>
  <si>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</si>
  <si>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</si>
  <si>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</si>
  <si>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</si>
  <si>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</si>
  <si>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</si>
  <si>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</si>
  <si>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</si>
  <si>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</si>
  <si>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</si>
  <si>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</si>
  <si>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</si>
  <si>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</si>
  <si>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</si>
  <si>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</si>
  <si>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</si>
  <si>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</si>
  <si>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</si>
  <si>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</si>
  <si>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</si>
  <si>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</si>
  <si>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</si>
  <si>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</si>
  <si>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</si>
  <si>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</si>
  <si>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</si>
  <si>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</si>
  <si>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</si>
  <si>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</si>
  <si>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</si>
  <si>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</si>
  <si>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</si>
  <si>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</si>
  <si>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</si>
  <si>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</si>
  <si>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</si>
  <si>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</si>
  <si>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</si>
  <si>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</si>
  <si>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</si>
  <si>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</si>
  <si>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</si>
  <si>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</si>
  <si>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</si>
  <si>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</si>
  <si>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</si>
  <si>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</si>
  <si>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</si>
  <si>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</si>
  <si>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</si>
  <si>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</si>
  <si>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</si>
  <si>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</si>
  <si>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</si>
  <si>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</si>
  <si>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</si>
  <si>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</si>
  <si>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</si>
  <si>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</si>
  <si>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</si>
  <si>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</si>
  <si>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</si>
  <si>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</si>
  <si>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</si>
  <si>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</si>
  <si>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</si>
  <si>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</si>
  <si>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</si>
  <si>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</si>
  <si>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</si>
  <si>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</si>
  <si>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</si>
  <si>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</si>
  <si>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</si>
  <si>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</si>
  <si>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</si>
  <si>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</si>
  <si>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</si>
  <si>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</si>
  <si>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</si>
  <si>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</si>
  <si>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</si>
  <si>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</si>
  <si>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</si>
  <si>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</si>
  <si>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</si>
  <si>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</si>
  <si>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</si>
  <si>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</si>
  <si>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</si>
  <si>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</si>
  <si>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</si>
  <si>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</si>
  <si>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</si>
  <si>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</si>
  <si>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</si>
  <si>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</si>
  <si>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</si>
  <si>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</si>
  <si>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</si>
  <si>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</si>
  <si>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</si>
  <si>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</si>
  <si>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</si>
  <si>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</si>
  <si>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</si>
  <si>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</si>
  <si>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</si>
  <si>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</si>
  <si>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</si>
  <si>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</si>
  <si>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</si>
  <si>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</si>
  <si>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</si>
  <si>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</si>
  <si>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</si>
  <si>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</si>
  <si>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</si>
  <si>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</si>
  <si>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</si>
  <si>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</si>
  <si>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</si>
  <si>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</si>
  <si>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</si>
  <si>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</si>
  <si>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</si>
  <si>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</si>
  <si>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</si>
  <si>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</si>
  <si>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</si>
  <si>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</si>
  <si>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</si>
  <si>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</si>
  <si>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</si>
  <si>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</si>
  <si>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</si>
  <si>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</si>
  <si>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</si>
  <si>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</si>
  <si>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</si>
  <si>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</si>
  <si>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</si>
  <si>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</si>
  <si>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</si>
  <si>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</si>
  <si>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</si>
  <si>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</si>
  <si>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</si>
  <si>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</si>
  <si>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</si>
  <si>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</si>
  <si>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</si>
  <si>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</si>
  <si>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</si>
  <si>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</si>
  <si>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</si>
  <si>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</si>
  <si>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Import from Server</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</si>
  <si>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</si>
  <si>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</si>
  <si>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</si>
  <si>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</si>
  <si>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</si>
  <si>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</si>
  <si>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</si>
  <si>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</si>
  <si>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</si>
  <si>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</si>
  <si>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</si>
  <si>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</si>
  <si>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</si>
  <si>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</si>
  <si>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</si>
  <si>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</si>
  <si>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</si>
  <si>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</si>
  <si>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</si>
  <si>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</si>
  <si>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</si>
  <si>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</si>
  <si>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</si>
  <si>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</si>
  <si>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</si>
  <si>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</si>
  <si>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</si>
  <si>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</si>
  <si>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</si>
  <si>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</si>
  <si>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</si>
  <si>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</si>
  <si>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</si>
  <si>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</si>
  <si>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</si>
  <si>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</si>
  <si>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</si>
  <si>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</si>
  <si>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</si>
  <si>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</si>
  <si>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</si>
  <si>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</si>
  <si>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</si>
  <si>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</si>
  <si>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</si>
  <si>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</si>
  <si>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</si>
  <si>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</si>
  <si>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</si>
  <si>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</si>
  <si>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</si>
  <si>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</si>
  <si>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</si>
  <si>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</si>
  <si>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</si>
  <si>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</si>
  <si>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</si>
  <si>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</si>
  <si>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</si>
  <si>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</si>
  <si>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</si>
  <si>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</si>
  <si>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</si>
  <si>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</si>
  <si>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</si>
  <si>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</si>
  <si>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</si>
  <si>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</si>
  <si>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</si>
  <si>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</si>
  <si>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</si>
  <si>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</si>
  <si>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</si>
  <si>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</si>
  <si>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</si>
  <si>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</si>
  <si>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</si>
  <si>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</si>
  <si>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</si>
  <si>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</si>
  <si>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</si>
  <si>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</si>
  <si>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</si>
  <si>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</si>
  <si>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</si>
  <si>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</si>
  <si>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 Value(C)\nMan-day</t>
    <phoneticPr fontId="2" type="noConversion"/>
  </si>
  <si>
    <t>실적기성( C )\nMan-day</t>
    <phoneticPr fontId="2" type="noConversion"/>
  </si>
  <si>
    <t>2</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</si>
  <si>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</si>
  <si>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</si>
  <si>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</si>
  <si>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</si>
  <si>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</si>
  <si>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</si>
  <si>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</si>
  <si>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</si>
  <si>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</si>
  <si>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</si>
  <si>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</si>
  <si>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</si>
  <si>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</si>
  <si>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</si>
  <si>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</si>
  <si>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</si>
  <si>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1.1.3</t>
  </si>
  <si>
    <t>1.1.4</t>
  </si>
  <si>
    <t>1.2.2</t>
  </si>
  <si>
    <t>1.3.2</t>
  </si>
  <si>
    <t>Earned value on planned schedule(Total Duration x %Work Complete)</t>
    <phoneticPr fontId="2" type="noConversion"/>
  </si>
  <si>
    <t>실적기성(총기간 x 총실적진행율)</t>
    <phoneticPr fontId="2" type="noConversion"/>
  </si>
  <si>
    <t>실제 투입된 작업량</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</si>
  <si>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</si>
  <si>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</si>
  <si>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</si>
  <si>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</si>
  <si>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</si>
  <si>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</si>
  <si>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</si>
  <si>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</si>
  <si>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</si>
  <si>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</si>
  <si>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</si>
  <si>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</si>
  <si>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</si>
  <si>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</si>
  <si>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</si>
  <si>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</si>
  <si>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</si>
  <si>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</si>
  <si>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</si>
  <si>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</si>
  <si>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</si>
  <si>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</si>
  <si>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</si>
  <si>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</si>
  <si>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</si>
  <si>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</si>
  <si>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</si>
  <si>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</si>
  <si>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</si>
  <si>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</si>
  <si>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</si>
  <si>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</si>
  <si>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</si>
  <si>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</si>
  <si>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</si>
  <si>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</si>
  <si>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</si>
  <si>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</si>
  <si>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</si>
  <si>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</si>
  <si>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</si>
  <si>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</si>
  <si>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</si>
  <si>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</si>
  <si>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</si>
  <si>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</si>
  <si>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</si>
  <si>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</si>
  <si>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</si>
  <si>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</si>
  <si>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</si>
  <si>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</si>
  <si>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</si>
  <si>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</si>
  <si>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</si>
  <si>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</si>
  <si>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</si>
  <si>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</si>
  <si>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</si>
  <si>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</si>
  <si>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</si>
  <si>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</si>
  <si>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</si>
  <si>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</si>
  <si>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</si>
  <si>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</si>
  <si>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</si>
  <si>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</si>
  <si>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</si>
  <si>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</si>
  <si>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</si>
  <si>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</si>
  <si>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</si>
  <si>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</si>
  <si>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</si>
  <si>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</si>
  <si>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</si>
  <si>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</si>
  <si>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</si>
  <si>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</si>
  <si>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</si>
  <si>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</si>
  <si>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</si>
  <si>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</si>
  <si>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</si>
  <si>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</si>
  <si>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</si>
  <si>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</si>
  <si>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</si>
  <si>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</si>
  <si>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</si>
  <si>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</si>
  <si>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</si>
  <si>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</si>
  <si>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</si>
  <si>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</si>
  <si>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</si>
  <si>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</si>
  <si>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</si>
  <si>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</si>
  <si>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</si>
  <si>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</si>
  <si>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</si>
  <si>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</si>
  <si>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</si>
  <si>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</si>
  <si>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</si>
  <si>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</si>
  <si>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</si>
  <si>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</si>
  <si>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</si>
  <si>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</si>
  <si>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</si>
  <si>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</si>
  <si>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</si>
  <si>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</si>
  <si>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</si>
  <si>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</si>
  <si>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</si>
  <si>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</si>
  <si>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</si>
  <si>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</si>
  <si>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</si>
  <si>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</si>
  <si>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</si>
  <si>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</si>
  <si>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</si>
  <si>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</si>
  <si>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</si>
  <si>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</si>
  <si>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</si>
  <si>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</si>
  <si>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</si>
  <si>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</si>
  <si>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</si>
  <si>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</si>
  <si>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</si>
  <si>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</si>
  <si>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</si>
  <si>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</si>
  <si>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</si>
  <si>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</si>
  <si>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</si>
  <si>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XYZ시스템 구축</t>
    <phoneticPr fontId="2" type="noConversion"/>
  </si>
  <si>
    <t>W1</t>
  </si>
  <si>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</si>
  <si>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</si>
  <si>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</si>
  <si>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</si>
  <si>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</si>
  <si>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{"TASK_FIRST_COL":"5","START_ROW":"5","WBS_AREA_LAST_COL":"31"}</t>
    <phoneticPr fontId="4" type="noConversion"/>
  </si>
  <si>
    <t>SCHEDULE_SHEET_POSITION:3545151617181920212223242526272829303132</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</si>
  <si>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</si>
  <si>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</si>
  <si>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</si>
  <si>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</si>
  <si>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</si>
  <si>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</si>
  <si>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</si>
  <si>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</si>
  <si>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1.1.2.1</t>
  </si>
  <si>
    <t>1.1.2.2</t>
  </si>
  <si>
    <t>2.1.1</t>
  </si>
  <si>
    <t>2.1.2</t>
  </si>
  <si>
    <t>2.1.2.1</t>
  </si>
  <si>
    <t>2.1.2.2</t>
  </si>
  <si>
    <t>W5</t>
  </si>
  <si>
    <t>W9</t>
  </si>
  <si>
    <t>W13</t>
  </si>
  <si>
    <t>W17</t>
  </si>
  <si>
    <t>W21</t>
  </si>
  <si>
    <t>2.1</t>
  </si>
  <si>
    <t>Set "the earliest start date and the lastest fisnish date of the tasks" to the Project Start-Finish date.</t>
    <phoneticPr fontId="2" type="noConversion"/>
  </si>
  <si>
    <t>F</t>
    <phoneticPr fontId="2" type="noConversion"/>
  </si>
  <si>
    <t>1:English,82:Korean,999:Custom</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</si>
  <si>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</si>
  <si>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</si>
  <si>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</si>
  <si>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</si>
  <si>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</si>
  <si>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</si>
  <si>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</si>
  <si>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</si>
  <si>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</si>
  <si>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</si>
  <si>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</si>
  <si>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</si>
  <si>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</si>
  <si>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</si>
  <si>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</si>
  <si>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</si>
  <si>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</si>
  <si>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</si>
  <si>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</si>
  <si>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</si>
  <si>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</si>
  <si>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</si>
  <si>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</si>
  <si>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</si>
  <si>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</si>
  <si>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</si>
  <si>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</si>
  <si>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</si>
  <si>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</si>
  <si>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</si>
  <si>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</si>
  <si>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</si>
  <si>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</si>
  <si>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</si>
  <si>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</si>
  <si>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</si>
  <si>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</si>
  <si>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</si>
  <si>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</si>
  <si>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</si>
  <si>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</si>
  <si>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</si>
  <si>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</si>
  <si>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</si>
  <si>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</si>
  <si>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</si>
  <si>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</si>
  <si>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</si>
  <si>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</si>
  <si>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</si>
  <si>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</si>
  <si>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</si>
  <si>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</si>
  <si>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</si>
  <si>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</si>
  <si>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</si>
  <si>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</si>
  <si>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</si>
  <si>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</si>
  <si>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</si>
  <si>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</si>
  <si>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</si>
  <si>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</si>
  <si>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</si>
  <si>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</si>
  <si>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</si>
  <si>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</si>
  <si>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</si>
  <si>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</si>
  <si>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</si>
  <si>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</si>
  <si>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</si>
  <si>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</si>
  <si>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</si>
  <si>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계획</t>
    <phoneticPr fontId="4" type="noConversion"/>
  </si>
  <si>
    <t>실적*</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</si>
  <si>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</si>
  <si>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</si>
  <si>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</si>
  <si>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</si>
  <si>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</si>
  <si>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</si>
  <si>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</si>
  <si>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</si>
  <si>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</si>
  <si>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</si>
  <si>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</si>
  <si>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</si>
  <si>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</si>
  <si>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</si>
  <si>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</si>
  <si>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</si>
  <si>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</si>
  <si>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</si>
  <si>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</si>
  <si>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</si>
  <si>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</si>
  <si>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</si>
  <si>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프로젝트 진척율 - 일정변경 관리하지 않을때</t>
    <phoneticPr fontId="4" type="noConversion"/>
  </si>
  <si>
    <t>12/1/2018</t>
    <phoneticPr fontId="2" type="noConversion"/>
  </si>
  <si>
    <t>&lt;&lt; Unmap</t>
    <phoneticPr fontId="2" type="noConversion"/>
  </si>
  <si>
    <t>&lt;&lt; Remove</t>
    <phoneticPr fontId="2" type="noConversion"/>
  </si>
  <si>
    <t>Calendar</t>
    <phoneticPr fontId="4" type="noConversion"/>
  </si>
  <si>
    <t>산출물</t>
    <phoneticPr fontId="2" type="noConversion"/>
  </si>
  <si>
    <t>산출물</t>
    <phoneticPr fontId="4" type="noConversion"/>
  </si>
  <si>
    <t>1.2.3</t>
  </si>
  <si>
    <t>1.2.4</t>
  </si>
  <si>
    <t>1.3.3</t>
  </si>
  <si>
    <t>10066176;10066176;26367;8421504;26367;8421504;16764108;16737792;65280;16737792;13311;65280;14540253;255</t>
    <phoneticPr fontId="2" type="noConversion"/>
  </si>
  <si>
    <t>TODAY</t>
    <phoneticPr fontId="2" type="noConversion"/>
  </si>
  <si>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</si>
  <si>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</si>
  <si>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</si>
  <si>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</si>
  <si>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</si>
  <si>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</si>
  <si>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</si>
  <si>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</si>
  <si>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</si>
  <si>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</si>
  <si>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</si>
  <si>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</si>
  <si>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</si>
  <si>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</si>
  <si>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</si>
  <si>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</si>
  <si>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</si>
  <si>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</si>
  <si>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</si>
  <si>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</si>
  <si>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</si>
  <si>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</si>
  <si>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</si>
  <si>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</si>
  <si>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파워포인트</t>
    <phoneticPr fontId="4" type="noConversion"/>
  </si>
  <si>
    <t>자동지정</t>
    <phoneticPr fontId="4" type="noConversion"/>
  </si>
  <si>
    <t>워드</t>
    <phoneticPr fontId="4" type="noConversion"/>
  </si>
  <si>
    <t>엑셀</t>
    <phoneticPr fontId="4" type="noConversion"/>
  </si>
  <si>
    <t>동적 노드 구성</t>
  </si>
  <si>
    <t>KeyValue Store 개선</t>
  </si>
  <si>
    <t>모니터링</t>
  </si>
  <si>
    <t>최적화/안정화</t>
  </si>
  <si>
    <t>KOREN적용</t>
  </si>
  <si>
    <t>개념 분석</t>
  </si>
  <si>
    <t>선행 연구 분석</t>
  </si>
  <si>
    <t>신용윤,박세형</t>
  </si>
  <si>
    <t>기능 정의 및 설계</t>
  </si>
  <si>
    <t>필수 기능 정의</t>
  </si>
  <si>
    <t>동적 노드 구성 설계</t>
  </si>
  <si>
    <t>W25</t>
  </si>
  <si>
    <t>W29</t>
  </si>
  <si>
    <t>W33</t>
  </si>
  <si>
    <t>W37</t>
  </si>
  <si>
    <t>W41</t>
  </si>
  <si>
    <t>W45</t>
  </si>
  <si>
    <t>W49</t>
  </si>
  <si>
    <t>W53</t>
  </si>
  <si>
    <t>1.1.1.1</t>
  </si>
  <si>
    <t>기능 구현</t>
  </si>
  <si>
    <t>기능 테스트 및 디버깅</t>
  </si>
  <si>
    <t>1.1.5</t>
  </si>
  <si>
    <t>박세형</t>
  </si>
  <si>
    <t>기능개선 (프레임워크 core enabler 고도화)</t>
  </si>
  <si>
    <t>성능개선 (프레임워크 core enabler 고도화)</t>
  </si>
  <si>
    <t>인터페이스 구현</t>
  </si>
  <si>
    <t>연동 테스트</t>
  </si>
  <si>
    <t>신용윤</t>
  </si>
  <si>
    <t>IPR</t>
  </si>
  <si>
    <t>프로파일링 결과 분석</t>
  </si>
  <si>
    <t>1.1.5.1</t>
  </si>
  <si>
    <t>1.1.5.2</t>
  </si>
  <si>
    <t>코드 최적화</t>
  </si>
  <si>
    <t>TM</t>
  </si>
  <si>
    <t>TDP</t>
  </si>
  <si>
    <t>프로그램</t>
  </si>
  <si>
    <t>1.2.4.1</t>
  </si>
  <si>
    <t>1.2.4.2</t>
  </si>
  <si>
    <t>인터페이스 설계</t>
  </si>
  <si>
    <t>모니터링 연동 테스트</t>
  </si>
  <si>
    <t>유닛 테스트 및 디버깅</t>
  </si>
  <si>
    <t>nosql 적용</t>
  </si>
  <si>
    <t>managed DHT 구현</t>
  </si>
  <si>
    <t>1.1.3.1</t>
  </si>
  <si>
    <t>1.1.4.1</t>
  </si>
  <si>
    <t>1.2.1.1</t>
  </si>
  <si>
    <t>1.2.1.2</t>
  </si>
  <si>
    <t>1.2.2.1</t>
  </si>
  <si>
    <t>1.2.3.1</t>
  </si>
  <si>
    <t>1.3.1.1</t>
  </si>
  <si>
    <t>1.3.2.1</t>
  </si>
  <si>
    <t>1.3.3.1</t>
  </si>
  <si>
    <t>KeyValue Store 기능 설계</t>
  </si>
  <si>
    <t>DIFS 2020 프로파일링 결과 분석</t>
  </si>
  <si>
    <t>DIFS 2020 프로파일링</t>
  </si>
  <si>
    <t>DIFS 2020 코드 최적화</t>
  </si>
  <si>
    <t>12/27
W53</t>
  </si>
  <si>
    <t>2021
W5</t>
  </si>
  <si>
    <t>02/21
W9</t>
  </si>
  <si>
    <t>03/21
W13</t>
  </si>
  <si>
    <t>04/18
W17</t>
  </si>
  <si>
    <t>05/16
W21</t>
  </si>
  <si>
    <t>06/13
W25</t>
  </si>
  <si>
    <t>07/11
W29</t>
  </si>
  <si>
    <t>08/08
W33</t>
  </si>
  <si>
    <t>09/05
W37</t>
  </si>
  <si>
    <t>10/03
W41</t>
  </si>
  <si>
    <t>10/31
W45</t>
  </si>
  <si>
    <t>11/28
W49</t>
  </si>
  <si>
    <t>12/26
W53</t>
  </si>
  <si>
    <t>2.1.1.1</t>
  </si>
  <si>
    <t>2.1.1.2</t>
  </si>
  <si>
    <t>DIFS 2021 프로파일링</t>
  </si>
  <si>
    <t>ForwardingHint 결과분석</t>
  </si>
  <si>
    <t>ForwardingHint 코드 최적화</t>
  </si>
  <si>
    <t>KeyValue Store 결과분석</t>
  </si>
  <si>
    <t>KeyValue Store 코드 최적화</t>
  </si>
  <si>
    <t>user tool 결과분석</t>
  </si>
  <si>
    <t>user tool 코드 최적화</t>
  </si>
  <si>
    <t>동적 노드 구성 결과 분석</t>
  </si>
  <si>
    <t>동적 노드 구성 코드 최적화</t>
  </si>
  <si>
    <t>2.1.2.3</t>
  </si>
  <si>
    <t>2.1.2.4</t>
  </si>
  <si>
    <t>2.1.2.5</t>
  </si>
  <si>
    <t>2.1.2.6</t>
  </si>
  <si>
    <t>2.1.2.7</t>
  </si>
  <si>
    <t>2.1.2.8</t>
  </si>
  <si>
    <t>신용윤, 박세형</t>
  </si>
  <si>
    <t>논문</t>
  </si>
  <si>
    <t>ICACT 2021</t>
  </si>
  <si>
    <t>특허</t>
  </si>
  <si>
    <t>DHT 기반 동적 NDN 노드 구성 방법 (국제)</t>
  </si>
  <si>
    <t>Forward Chain 기반 Stream(실시간) 데이터 인증 방법 (국제)</t>
  </si>
  <si>
    <t>4.1</t>
  </si>
  <si>
    <t>4.1.1</t>
  </si>
  <si>
    <t>4.2</t>
  </si>
  <si>
    <t>4.2.1</t>
  </si>
  <si>
    <t>국제</t>
  </si>
  <si>
    <t>4.1.1.1</t>
  </si>
  <si>
    <t>4.1.1.2</t>
  </si>
  <si>
    <t>4.2.1.1</t>
  </si>
  <si>
    <t>4.2.1.2</t>
  </si>
  <si>
    <t>ACM-ICN 2021 (full paper)</t>
  </si>
  <si>
    <t>DIFS 2020 set 구성</t>
  </si>
  <si>
    <t>DIFS 2020</t>
  </si>
  <si>
    <t>노드 구성</t>
  </si>
  <si>
    <t>적용</t>
  </si>
  <si>
    <t>DIFS 2020 적용</t>
  </si>
  <si>
    <t>DIFS 2021</t>
  </si>
  <si>
    <t>DIFS 2021 적용</t>
  </si>
  <si>
    <t>DIFS 2021 set 구성</t>
  </si>
  <si>
    <t>3.1</t>
  </si>
  <si>
    <t>3.1.1</t>
  </si>
  <si>
    <t>3.1.1.1</t>
  </si>
  <si>
    <t>3.1.2</t>
  </si>
  <si>
    <t>3.1.2.1</t>
  </si>
  <si>
    <t>3.2</t>
  </si>
  <si>
    <t>3.2.1</t>
  </si>
  <si>
    <t>3.2.1.1</t>
  </si>
  <si>
    <t>3.2.2</t>
  </si>
  <si>
    <t>3.2.2.1</t>
  </si>
  <si>
    <t>ForwardingHint 적용</t>
  </si>
  <si>
    <t>Common Name 적용</t>
  </si>
  <si>
    <t>1.2.2.2</t>
  </si>
  <si>
    <t>1.2.2.3</t>
  </si>
  <si>
    <t>담당별_x000D_
진행율</t>
  </si>
  <si>
    <t>자원배정비율</t>
  </si>
  <si>
    <t>총작업량(A)_x000D_
Man-day</t>
  </si>
  <si>
    <t>계획작업량(B)_x000D_
Man-day</t>
  </si>
  <si>
    <t>실적기성( C )_x000D_
Man-day</t>
  </si>
  <si>
    <t>박세형 요약</t>
  </si>
  <si>
    <t>신용윤 요약</t>
  </si>
  <si>
    <t>총합계</t>
  </si>
  <si>
    <t>통합 테스트</t>
  </si>
  <si>
    <t>코드 안정화</t>
  </si>
  <si>
    <t>DIFS Tools 라이브러리화</t>
  </si>
  <si>
    <t>naming 체계 일원화</t>
  </si>
  <si>
    <t>user tools 기능 설계</t>
  </si>
  <si>
    <t>라이브러리 구현</t>
  </si>
  <si>
    <t>user lib 구성</t>
  </si>
  <si>
    <t>1.2.1.3</t>
  </si>
  <si>
    <t>1.4</t>
  </si>
  <si>
    <t>1.4.1</t>
  </si>
  <si>
    <t>1.4.1.1</t>
  </si>
  <si>
    <t>1.4.2</t>
  </si>
  <si>
    <t>1.4.2.1</t>
  </si>
  <si>
    <t>naming 체계 일원화 구현</t>
  </si>
  <si>
    <t>nosql 적용 구현</t>
  </si>
  <si>
    <t>ForwardingHint 적용 구현</t>
  </si>
  <si>
    <t>MerkleTree 기반 효율적 Signature 관리 기법 및 장치 (국제)</t>
  </si>
  <si>
    <t>리소스 정보 인터페이스 구현</t>
  </si>
  <si>
    <t>동적 노드 정보 인터페이스 구현</t>
  </si>
  <si>
    <t>1.3.2.2</t>
  </si>
  <si>
    <t>user lib 연동 테스트</t>
  </si>
  <si>
    <t>1.4.3</t>
  </si>
  <si>
    <t>1.4.3.1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</si>
</sst>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b/>
      <sz val="10"/>
      <color theme="10"/>
      <name val="Calibri"/>
      <family val="2"/>
    </font>
    <font>
      <b/>
      <sz val="10"/>
      <color theme="10"/>
      <name val="Malgun Gothic"/>
      <family val="3"/>
      <charset val="129"/>
    </font>
    <font>
      <b/>
      <sz val="11"/>
      <name val="Calibri"/>
      <family val="2"/>
    </font>
    <font>
      <sz val="11"/>
      <color rgb="FFFF0000"/>
      <name val="Calibri"/>
      <family val="2"/>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F0000"/>
        <bgColor indexed="64"/>
      </patternFill>
    </fill>
    <fill>
      <patternFill patternType="solid">
        <fgColor rgb="FFF8F8F8"/>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31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3" fontId="10" fillId="0" borderId="0" xfId="4" applyNumberFormat="1" applyFont="1" applyFill="1" applyAlignment="1">
      <alignment vertical="top"/>
    </xf>
    <xf numFmtId="0" fontId="9" fillId="0" borderId="0" xfId="4" applyFont="1" applyBorder="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0" fontId="23" fillId="17" borderId="26" xfId="6" applyNumberFormat="1" applyFont="1" applyFill="1" applyBorder="1" applyAlignment="1" applyProtection="1">
      <alignment horizontal="right" vertical="top"/>
      <protection locked="0"/>
    </xf>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39" fillId="19" borderId="21" xfId="4" applyFont="1" applyFill="1" applyBorder="1" applyAlignment="1" applyProtection="1">
      <alignment horizontal="left"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0" fontId="50" fillId="17" borderId="0" xfId="2" applyFont="1" applyFill="1" applyBorder="1" applyAlignment="1">
      <alignment horizontal="left" vertical="center"/>
    </xf>
    <xf numFmtId="10" fontId="37" fillId="17" borderId="26" xfId="6" applyNumberFormat="1" applyFont="1" applyFill="1" applyBorder="1" applyAlignment="1" applyProtection="1">
      <alignment horizontal="right" vertical="top"/>
      <protection locked="0"/>
    </xf>
    <xf numFmtId="0" fontId="39" fillId="19" borderId="20" xfId="4" applyFont="1" applyFill="1" applyBorder="1" applyAlignment="1" applyProtection="1">
      <alignment horizontal="left" vertical="center"/>
    </xf>
    <xf numFmtId="10" fontId="23" fillId="20" borderId="26" xfId="6" applyNumberFormat="1" applyFont="1" applyFill="1" applyBorder="1" applyAlignment="1" applyProtection="1">
      <alignment horizontal="right" vertical="top"/>
      <protection locked="0"/>
    </xf>
    <xf numFmtId="10" fontId="37" fillId="20" borderId="26" xfId="6" applyNumberFormat="1" applyFont="1" applyFill="1" applyBorder="1" applyAlignment="1" applyProtection="1">
      <alignment horizontal="right" vertical="top"/>
      <protection locked="0"/>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1" borderId="28" xfId="0" applyFont="1" applyFill="1" applyBorder="1" applyAlignment="1">
      <alignment vertical="center"/>
    </xf>
    <xf numFmtId="0" fontId="27" fillId="0" borderId="0" xfId="0" applyFont="1" applyBorder="1"/>
    <xf numFmtId="0" fontId="10" fillId="0" borderId="0" xfId="0" applyFont="1" applyBorder="1" applyProtection="1">
      <protection locked="0"/>
    </xf>
    <xf numFmtId="10" fontId="9" fillId="0" borderId="0" xfId="4" applyNumberFormat="1" applyFont="1" applyBorder="1"/>
    <xf numFmtId="0" fontId="37" fillId="7" borderId="26" xfId="4" quotePrefix="1" applyFont="1" applyFill="1" applyBorder="1" applyAlignment="1" applyProtection="1">
      <alignment horizontal="right" vertical="top"/>
      <protection locked="0"/>
    </xf>
    <xf numFmtId="0" fontId="37" fillId="7" borderId="26" xfId="4" applyFont="1" applyFill="1" applyBorder="1" applyAlignment="1" applyProtection="1">
      <alignment horizontal="left" vertical="top"/>
      <protection locked="0"/>
    </xf>
    <xf numFmtId="0" fontId="23" fillId="7" borderId="26" xfId="4" applyFont="1" applyFill="1" applyBorder="1" applyAlignment="1" applyProtection="1">
      <alignment horizontal="left" vertical="top"/>
      <protection locked="0"/>
    </xf>
    <xf numFmtId="14" fontId="23" fillId="7" borderId="26" xfId="4" applyNumberFormat="1" applyFont="1" applyFill="1" applyBorder="1" applyAlignment="1" applyProtection="1">
      <alignment horizontal="center" vertical="top"/>
      <protection locked="0"/>
    </xf>
    <xf numFmtId="0" fontId="23" fillId="7" borderId="26" xfId="4" applyNumberFormat="1" applyFont="1" applyFill="1" applyBorder="1" applyAlignment="1" applyProtection="1">
      <alignment horizontal="left" vertical="top"/>
      <protection locked="0"/>
    </xf>
    <xf numFmtId="178" fontId="23" fillId="7" borderId="26" xfId="4" applyNumberFormat="1" applyFont="1" applyFill="1" applyBorder="1" applyAlignment="1" applyProtection="1">
      <alignment horizontal="center" vertical="top"/>
      <protection locked="0"/>
    </xf>
    <xf numFmtId="177" fontId="23" fillId="7" borderId="26" xfId="4" applyNumberFormat="1" applyFont="1" applyFill="1" applyBorder="1" applyAlignment="1" applyProtection="1">
      <alignment horizontal="center" vertical="top"/>
      <protection locked="0"/>
    </xf>
    <xf numFmtId="1" fontId="23" fillId="7" borderId="26" xfId="4" applyNumberFormat="1" applyFont="1" applyFill="1" applyBorder="1" applyAlignment="1" applyProtection="1">
      <alignment horizontal="center" vertical="top"/>
      <protection locked="0"/>
    </xf>
    <xf numFmtId="14" fontId="23" fillId="7" borderId="26" xfId="4" applyNumberFormat="1" applyFont="1" applyFill="1" applyBorder="1" applyAlignment="1" applyProtection="1">
      <alignment horizontal="left" vertical="top"/>
      <protection locked="0"/>
    </xf>
    <xf numFmtId="10" fontId="23" fillId="7" borderId="26" xfId="6" applyNumberFormat="1" applyFont="1" applyFill="1" applyBorder="1" applyAlignment="1" applyProtection="1">
      <alignment horizontal="right" vertical="top" wrapText="1"/>
      <protection locked="0"/>
    </xf>
    <xf numFmtId="0" fontId="37" fillId="7" borderId="26" xfId="4" applyNumberFormat="1" applyFont="1" applyFill="1" applyBorder="1" applyAlignment="1" applyProtection="1">
      <alignment horizontal="left" vertical="top"/>
      <protection locked="0"/>
    </xf>
    <xf numFmtId="14" fontId="37" fillId="7" borderId="26" xfId="4" applyNumberFormat="1" applyFont="1" applyFill="1" applyBorder="1" applyAlignment="1" applyProtection="1">
      <alignment horizontal="center" vertical="top"/>
      <protection locked="0"/>
    </xf>
    <xf numFmtId="178" fontId="37" fillId="7" borderId="26" xfId="4" applyNumberFormat="1" applyFont="1" applyFill="1" applyBorder="1" applyAlignment="1" applyProtection="1">
      <alignment horizontal="center" vertical="top"/>
      <protection locked="0"/>
    </xf>
    <xf numFmtId="177" fontId="37" fillId="7" borderId="26" xfId="4" applyNumberFormat="1" applyFont="1" applyFill="1" applyBorder="1" applyAlignment="1" applyProtection="1">
      <alignment horizontal="center" vertical="top"/>
      <protection locked="0"/>
    </xf>
    <xf numFmtId="1" fontId="37" fillId="7" borderId="26" xfId="4" applyNumberFormat="1" applyFont="1" applyFill="1" applyBorder="1" applyAlignment="1" applyProtection="1">
      <alignment horizontal="center" vertical="top"/>
      <protection locked="0"/>
    </xf>
    <xf numFmtId="14" fontId="37" fillId="7" borderId="26" xfId="4" applyNumberFormat="1" applyFont="1" applyFill="1" applyBorder="1" applyAlignment="1" applyProtection="1">
      <alignment horizontal="left" vertical="top"/>
      <protection locked="0"/>
    </xf>
    <xf numFmtId="10" fontId="37" fillId="7" borderId="26" xfId="6" applyNumberFormat="1" applyFont="1" applyFill="1" applyBorder="1" applyAlignment="1" applyProtection="1">
      <alignment horizontal="right" vertical="top" wrapText="1"/>
      <protection locked="0"/>
    </xf>
    <xf numFmtId="0" fontId="23" fillId="3" borderId="26" xfId="4" applyFont="1" applyFill="1" applyBorder="1" applyAlignment="1" applyProtection="1">
      <alignment horizontal="left" vertical="top"/>
      <protection locked="0"/>
    </xf>
    <xf numFmtId="14" fontId="23" fillId="3" borderId="26" xfId="4" applyNumberFormat="1" applyFont="1" applyFill="1" applyBorder="1" applyAlignment="1" applyProtection="1">
      <alignment horizontal="center" vertical="top"/>
      <protection locked="0"/>
    </xf>
    <xf numFmtId="0" fontId="23" fillId="3" borderId="26" xfId="4" applyNumberFormat="1" applyFont="1" applyFill="1" applyBorder="1" applyAlignment="1" applyProtection="1">
      <alignment horizontal="left" vertical="top"/>
      <protection locked="0"/>
    </xf>
    <xf numFmtId="178" fontId="23" fillId="3" borderId="26" xfId="4" applyNumberFormat="1" applyFont="1" applyFill="1" applyBorder="1" applyAlignment="1" applyProtection="1">
      <alignment horizontal="center" vertical="top"/>
      <protection locked="0"/>
    </xf>
    <xf numFmtId="177" fontId="23" fillId="3" borderId="26" xfId="4" applyNumberFormat="1" applyFont="1" applyFill="1" applyBorder="1" applyAlignment="1" applyProtection="1">
      <alignment horizontal="center" vertical="top"/>
      <protection locked="0"/>
    </xf>
    <xf numFmtId="1" fontId="23" fillId="3" borderId="26" xfId="4" applyNumberFormat="1" applyFont="1" applyFill="1" applyBorder="1" applyAlignment="1" applyProtection="1">
      <alignment horizontal="center" vertical="top"/>
      <protection locked="0"/>
    </xf>
    <xf numFmtId="14" fontId="23" fillId="3" borderId="26" xfId="4" applyNumberFormat="1" applyFont="1" applyFill="1" applyBorder="1" applyAlignment="1" applyProtection="1">
      <alignment horizontal="left" vertical="top"/>
      <protection locked="0"/>
    </xf>
    <xf numFmtId="10" fontId="23" fillId="3" borderId="26" xfId="6" applyNumberFormat="1" applyFont="1" applyFill="1" applyBorder="1" applyAlignment="1" applyProtection="1">
      <alignment horizontal="right" vertical="top" wrapText="1"/>
      <protection locked="0"/>
    </xf>
    <xf numFmtId="0" fontId="23" fillId="3" borderId="26" xfId="4" quotePrefix="1" applyFont="1" applyFill="1" applyBorder="1" applyAlignment="1" applyProtection="1">
      <alignment horizontal="right" vertical="top"/>
      <protection locked="0"/>
    </xf>
    <xf numFmtId="0" fontId="21" fillId="0" borderId="26" xfId="4" quotePrefix="1" applyFont="1" applyFill="1" applyBorder="1" applyAlignment="1" applyProtection="1">
      <alignment horizontal="right" vertical="top"/>
      <protection locked="0"/>
    </xf>
    <xf numFmtId="0" fontId="21" fillId="0" borderId="26" xfId="4" applyFont="1" applyFill="1" applyBorder="1" applyAlignment="1" applyProtection="1">
      <alignment horizontal="left" vertical="top"/>
      <protection locked="0"/>
    </xf>
    <xf numFmtId="14" fontId="21" fillId="0" borderId="26" xfId="4" applyNumberFormat="1" applyFont="1" applyFill="1" applyBorder="1" applyAlignment="1" applyProtection="1">
      <alignment horizontal="center" vertical="top"/>
      <protection locked="0"/>
    </xf>
    <xf numFmtId="0" fontId="21" fillId="0" borderId="26" xfId="4" applyNumberFormat="1" applyFont="1" applyFill="1" applyBorder="1" applyAlignment="1" applyProtection="1">
      <alignment horizontal="left" vertical="top"/>
      <protection locked="0"/>
    </xf>
    <xf numFmtId="178" fontId="21" fillId="0" borderId="26" xfId="4" applyNumberFormat="1" applyFont="1" applyFill="1" applyBorder="1" applyAlignment="1" applyProtection="1">
      <alignment horizontal="center" vertical="top"/>
      <protection locked="0"/>
    </xf>
    <xf numFmtId="177" fontId="21" fillId="0" borderId="26" xfId="4" applyNumberFormat="1" applyFont="1" applyFill="1" applyBorder="1" applyAlignment="1" applyProtection="1">
      <alignment horizontal="center" vertical="top"/>
      <protection locked="0"/>
    </xf>
    <xf numFmtId="1" fontId="21" fillId="0" borderId="26" xfId="4" applyNumberFormat="1" applyFont="1" applyFill="1" applyBorder="1" applyAlignment="1" applyProtection="1">
      <alignment horizontal="center" vertical="top"/>
      <protection locked="0"/>
    </xf>
    <xf numFmtId="14" fontId="21" fillId="0" borderId="26" xfId="4" applyNumberFormat="1" applyFont="1" applyFill="1" applyBorder="1" applyAlignment="1" applyProtection="1">
      <alignment horizontal="left" vertical="top"/>
      <protection locked="0"/>
    </xf>
    <xf numFmtId="10" fontId="21" fillId="0" borderId="26" xfId="6" applyNumberFormat="1" applyFont="1" applyFill="1" applyBorder="1" applyAlignment="1" applyProtection="1">
      <alignment horizontal="right" vertical="top" wrapText="1"/>
      <protection locked="0"/>
    </xf>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3" fillId="22" borderId="0" xfId="4" quotePrefix="1" applyFont="1" applyFill="1" applyBorder="1"/>
    <xf numFmtId="0" fontId="3" fillId="22" borderId="0" xfId="2" quotePrefix="1" applyFill="1" applyBorder="1"/>
    <xf numFmtId="0" fontId="9" fillId="22" borderId="0" xfId="4" quotePrefix="1" applyFont="1" applyFill="1" applyBorder="1"/>
    <xf numFmtId="14" fontId="9" fillId="22" borderId="0" xfId="4" applyNumberFormat="1" applyFont="1" applyFill="1" applyBorder="1"/>
    <xf numFmtId="10" fontId="9" fillId="22" borderId="0" xfId="4" applyNumberFormat="1" applyFont="1" applyFill="1" applyBorder="1"/>
    <xf numFmtId="0" fontId="9" fillId="22" borderId="0" xfId="4" applyNumberFormat="1" applyFont="1" applyFill="1" applyBorder="1"/>
    <xf numFmtId="0" fontId="53" fillId="22" borderId="0" xfId="4" applyFont="1" applyFill="1" applyBorder="1"/>
    <xf numFmtId="0" fontId="9" fillId="22" borderId="0" xfId="4" applyFont="1" applyFill="1" applyBorder="1"/>
    <xf numFmtId="10" fontId="54" fillId="0" borderId="0" xfId="4" applyNumberFormat="1" applyFont="1" applyBorder="1"/>
    <xf numFmtId="10" fontId="54" fillId="22" borderId="0" xfId="4" applyNumberFormat="1" applyFont="1" applyFill="1" applyBorder="1"/>
    <xf numFmtId="0" fontId="38"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1" borderId="28" xfId="2" applyFont="1" applyFill="1" applyBorder="1" applyAlignment="1">
      <alignment horizontal="right"/>
    </xf>
    <xf numFmtId="0" fontId="0" fillId="21" borderId="28"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51" fillId="21" borderId="30" xfId="2" applyFont="1" applyFill="1" applyBorder="1" applyAlignment="1">
      <alignment vertical="center"/>
    </xf>
    <xf numFmtId="0" fontId="0" fillId="21" borderId="30" xfId="0" applyFill="1" applyBorder="1" applyAlignment="1">
      <alignment vertical="center"/>
    </xf>
    <xf numFmtId="0" fontId="34" fillId="21" borderId="27" xfId="0" applyFont="1" applyFill="1" applyBorder="1" applyAlignment="1">
      <alignment horizontal="center" vertical="center"/>
    </xf>
    <xf numFmtId="0" fontId="34" fillId="21" borderId="28" xfId="0" applyFont="1" applyFill="1" applyBorder="1" applyAlignment="1">
      <alignment horizontal="center" vertical="center"/>
    </xf>
    <xf numFmtId="0" fontId="34" fillId="21" borderId="29" xfId="0" applyFont="1" applyFill="1" applyBorder="1" applyAlignment="1">
      <alignment horizontal="center" vertical="center"/>
    </xf>
    <xf numFmtId="0" fontId="34" fillId="21" borderId="30"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8" fillId="17" borderId="0" xfId="1" applyFont="1" applyFill="1" applyBorder="1" applyAlignment="1">
      <alignment horizontal="left" vertical="center"/>
    </xf>
    <xf numFmtId="0" fontId="46"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81</xdr:row>
      <xdr:rowOff>0</xdr:rowOff>
    </xdr:to>
    <xdr:cxnSp macro="">
      <xdr:nvCxnSpPr>
        <xdr:cNvPr id="2" name="직선 화살표 연결선 1">
          <a:extLst>
            <a:ext uri="{FF2B5EF4-FFF2-40B4-BE49-F238E27FC236}">
              <a16:creationId xmlns:a16="http://schemas.microsoft.com/office/drawing/2014/main" id="{D0EA28E8-2EFE-4FDF-9ED7-791E51011BBF}"/>
            </a:ext>
          </a:extLst>
        </xdr:cNvPr>
        <xdr:cNvCxnSpPr/>
      </xdr:nvCxnSpPr>
      <xdr:spPr>
        <a:xfrm>
          <a:off x="21745575" y="752348"/>
          <a:ext cx="0" cy="1173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3</xdr:row>
      <xdr:rowOff>76073</xdr:rowOff>
    </xdr:from>
    <xdr:to>
      <xdr:col>63</xdr:col>
      <xdr:colOff>0</xdr:colOff>
      <xdr:row>81</xdr:row>
      <xdr:rowOff>0</xdr:rowOff>
    </xdr:to>
    <xdr:cxnSp macro="">
      <xdr:nvCxnSpPr>
        <xdr:cNvPr id="3" name="직선 화살표 연결선 2">
          <a:extLst>
            <a:ext uri="{FF2B5EF4-FFF2-40B4-BE49-F238E27FC236}">
              <a16:creationId xmlns:a16="http://schemas.microsoft.com/office/drawing/2014/main" id="{00E50DEA-71C2-4007-8755-5C54F9395EA1}"/>
            </a:ext>
          </a:extLst>
        </xdr:cNvPr>
        <xdr:cNvCxnSpPr/>
      </xdr:nvCxnSpPr>
      <xdr:spPr>
        <a:xfrm>
          <a:off x="33937575" y="752348"/>
          <a:ext cx="0" cy="1173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3</xdr:row>
      <xdr:rowOff>76073</xdr:rowOff>
    </xdr:from>
    <xdr:to>
      <xdr:col>79</xdr:col>
      <xdr:colOff>0</xdr:colOff>
      <xdr:row>81</xdr:row>
      <xdr:rowOff>0</xdr:rowOff>
    </xdr:to>
    <xdr:cxnSp macro="">
      <xdr:nvCxnSpPr>
        <xdr:cNvPr id="4" name="직선 화살표 연결선 3">
          <a:extLst>
            <a:ext uri="{FF2B5EF4-FFF2-40B4-BE49-F238E27FC236}">
              <a16:creationId xmlns:a16="http://schemas.microsoft.com/office/drawing/2014/main" id="{C45A6A5E-C406-4199-8CE5-1919EBA48B42}"/>
            </a:ext>
          </a:extLst>
        </xdr:cNvPr>
        <xdr:cNvCxnSpPr/>
      </xdr:nvCxnSpPr>
      <xdr:spPr>
        <a:xfrm>
          <a:off x="46129575" y="752348"/>
          <a:ext cx="0" cy="1173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3</xdr:row>
      <xdr:rowOff>76073</xdr:rowOff>
    </xdr:from>
    <xdr:to>
      <xdr:col>36</xdr:col>
      <xdr:colOff>61232</xdr:colOff>
      <xdr:row>81</xdr:row>
      <xdr:rowOff>0</xdr:rowOff>
    </xdr:to>
    <xdr:cxnSp macro="">
      <xdr:nvCxnSpPr>
        <xdr:cNvPr id="5" name="직선 화살표 연결선 4">
          <a:extLst>
            <a:ext uri="{FF2B5EF4-FFF2-40B4-BE49-F238E27FC236}">
              <a16:creationId xmlns:a16="http://schemas.microsoft.com/office/drawing/2014/main" id="{4E5F8CEB-75B9-4255-8A81-1888DD57BE40}"/>
            </a:ext>
          </a:extLst>
        </xdr:cNvPr>
        <xdr:cNvCxnSpPr/>
      </xdr:nvCxnSpPr>
      <xdr:spPr>
        <a:xfrm>
          <a:off x="10329182" y="752348"/>
          <a:ext cx="0" cy="1173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80</xdr:row>
      <xdr:rowOff>19050</xdr:rowOff>
    </xdr:from>
    <xdr:to>
      <xdr:col>57</xdr:col>
      <xdr:colOff>82913</xdr:colOff>
      <xdr:row>80</xdr:row>
      <xdr:rowOff>133350</xdr:rowOff>
    </xdr:to>
    <xdr:sp macro="" textlink="">
      <xdr:nvSpPr>
        <xdr:cNvPr id="6" name="77">
          <a:extLst>
            <a:ext uri="{FF2B5EF4-FFF2-40B4-BE49-F238E27FC236}">
              <a16:creationId xmlns:a16="http://schemas.microsoft.com/office/drawing/2014/main" id="{CDFAF971-9E9A-451E-9C3E-BD7A5EF538FA}"/>
            </a:ext>
          </a:extLst>
        </xdr:cNvPr>
        <xdr:cNvSpPr/>
      </xdr:nvSpPr>
      <xdr:spPr>
        <a:xfrm>
          <a:off x="12737647" y="123539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80</xdr:row>
      <xdr:rowOff>76200</xdr:rowOff>
    </xdr:from>
    <xdr:to>
      <xdr:col>53</xdr:col>
      <xdr:colOff>40822</xdr:colOff>
      <xdr:row>80</xdr:row>
      <xdr:rowOff>76200</xdr:rowOff>
    </xdr:to>
    <xdr:cxnSp macro="">
      <xdr:nvCxnSpPr>
        <xdr:cNvPr id="7" name="직선 화살표 연결선 6">
          <a:extLst>
            <a:ext uri="{FF2B5EF4-FFF2-40B4-BE49-F238E27FC236}">
              <a16:creationId xmlns:a16="http://schemas.microsoft.com/office/drawing/2014/main" id="{D3EB72C7-5065-4B55-A47F-F7F6857F0A8A}"/>
            </a:ext>
          </a:extLst>
        </xdr:cNvPr>
        <xdr:cNvCxnSpPr/>
      </xdr:nvCxnSpPr>
      <xdr:spPr>
        <a:xfrm>
          <a:off x="12737647" y="1241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79</xdr:row>
      <xdr:rowOff>19050</xdr:rowOff>
    </xdr:from>
    <xdr:to>
      <xdr:col>57</xdr:col>
      <xdr:colOff>82913</xdr:colOff>
      <xdr:row>79</xdr:row>
      <xdr:rowOff>133350</xdr:rowOff>
    </xdr:to>
    <xdr:sp macro="" textlink="">
      <xdr:nvSpPr>
        <xdr:cNvPr id="8" name="76">
          <a:extLst>
            <a:ext uri="{FF2B5EF4-FFF2-40B4-BE49-F238E27FC236}">
              <a16:creationId xmlns:a16="http://schemas.microsoft.com/office/drawing/2014/main" id="{44057096-7BCE-428A-94B4-B246CD546C11}"/>
            </a:ext>
          </a:extLst>
        </xdr:cNvPr>
        <xdr:cNvSpPr/>
      </xdr:nvSpPr>
      <xdr:spPr>
        <a:xfrm>
          <a:off x="12737647" y="12201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79</xdr:row>
      <xdr:rowOff>76200</xdr:rowOff>
    </xdr:from>
    <xdr:to>
      <xdr:col>53</xdr:col>
      <xdr:colOff>40822</xdr:colOff>
      <xdr:row>79</xdr:row>
      <xdr:rowOff>76200</xdr:rowOff>
    </xdr:to>
    <xdr:cxnSp macro="">
      <xdr:nvCxnSpPr>
        <xdr:cNvPr id="9" name="직선 화살표 연결선 8">
          <a:extLst>
            <a:ext uri="{FF2B5EF4-FFF2-40B4-BE49-F238E27FC236}">
              <a16:creationId xmlns:a16="http://schemas.microsoft.com/office/drawing/2014/main" id="{939E7754-F68A-47F0-80A4-499E1433C2A3}"/>
            </a:ext>
          </a:extLst>
        </xdr:cNvPr>
        <xdr:cNvCxnSpPr/>
      </xdr:nvCxnSpPr>
      <xdr:spPr>
        <a:xfrm>
          <a:off x="12737647" y="1225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78</xdr:row>
      <xdr:rowOff>19050</xdr:rowOff>
    </xdr:from>
    <xdr:to>
      <xdr:col>57</xdr:col>
      <xdr:colOff>82913</xdr:colOff>
      <xdr:row>78</xdr:row>
      <xdr:rowOff>133350</xdr:rowOff>
    </xdr:to>
    <xdr:sp macro="" textlink="">
      <xdr:nvSpPr>
        <xdr:cNvPr id="10" name="75">
          <a:extLst>
            <a:ext uri="{FF2B5EF4-FFF2-40B4-BE49-F238E27FC236}">
              <a16:creationId xmlns:a16="http://schemas.microsoft.com/office/drawing/2014/main" id="{790E2807-85AA-4846-8147-8D991B68189E}"/>
            </a:ext>
          </a:extLst>
        </xdr:cNvPr>
        <xdr:cNvSpPr/>
      </xdr:nvSpPr>
      <xdr:spPr>
        <a:xfrm>
          <a:off x="12737647" y="12049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78</xdr:row>
      <xdr:rowOff>76200</xdr:rowOff>
    </xdr:from>
    <xdr:to>
      <xdr:col>53</xdr:col>
      <xdr:colOff>40822</xdr:colOff>
      <xdr:row>78</xdr:row>
      <xdr:rowOff>76200</xdr:rowOff>
    </xdr:to>
    <xdr:cxnSp macro="">
      <xdr:nvCxnSpPr>
        <xdr:cNvPr id="11" name="직선 화살표 연결선 10">
          <a:extLst>
            <a:ext uri="{FF2B5EF4-FFF2-40B4-BE49-F238E27FC236}">
              <a16:creationId xmlns:a16="http://schemas.microsoft.com/office/drawing/2014/main" id="{628D102A-0452-4C22-8CBB-66EE1E6088D6}"/>
            </a:ext>
          </a:extLst>
        </xdr:cNvPr>
        <xdr:cNvCxnSpPr/>
      </xdr:nvCxnSpPr>
      <xdr:spPr>
        <a:xfrm>
          <a:off x="12737647" y="1210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77</xdr:row>
      <xdr:rowOff>19050</xdr:rowOff>
    </xdr:from>
    <xdr:to>
      <xdr:col>57</xdr:col>
      <xdr:colOff>82913</xdr:colOff>
      <xdr:row>77</xdr:row>
      <xdr:rowOff>133350</xdr:rowOff>
    </xdr:to>
    <xdr:sp macro="" textlink="">
      <xdr:nvSpPr>
        <xdr:cNvPr id="12" name="74">
          <a:extLst>
            <a:ext uri="{FF2B5EF4-FFF2-40B4-BE49-F238E27FC236}">
              <a16:creationId xmlns:a16="http://schemas.microsoft.com/office/drawing/2014/main" id="{2596892E-152D-4143-A189-82E84B6BC377}"/>
            </a:ext>
          </a:extLst>
        </xdr:cNvPr>
        <xdr:cNvSpPr/>
      </xdr:nvSpPr>
      <xdr:spPr>
        <a:xfrm>
          <a:off x="12737647" y="118967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77</xdr:row>
      <xdr:rowOff>76200</xdr:rowOff>
    </xdr:from>
    <xdr:to>
      <xdr:col>53</xdr:col>
      <xdr:colOff>40822</xdr:colOff>
      <xdr:row>77</xdr:row>
      <xdr:rowOff>76200</xdr:rowOff>
    </xdr:to>
    <xdr:cxnSp macro="">
      <xdr:nvCxnSpPr>
        <xdr:cNvPr id="13" name="직선 화살표 연결선 12">
          <a:extLst>
            <a:ext uri="{FF2B5EF4-FFF2-40B4-BE49-F238E27FC236}">
              <a16:creationId xmlns:a16="http://schemas.microsoft.com/office/drawing/2014/main" id="{B3E39512-E89F-4BEA-B09F-B84211DD61E2}"/>
            </a:ext>
          </a:extLst>
        </xdr:cNvPr>
        <xdr:cNvCxnSpPr/>
      </xdr:nvCxnSpPr>
      <xdr:spPr>
        <a:xfrm>
          <a:off x="12737647" y="1195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76</xdr:row>
      <xdr:rowOff>19050</xdr:rowOff>
    </xdr:from>
    <xdr:to>
      <xdr:col>66</xdr:col>
      <xdr:colOff>62502</xdr:colOff>
      <xdr:row>76</xdr:row>
      <xdr:rowOff>133350</xdr:rowOff>
    </xdr:to>
    <xdr:sp macro="" textlink="">
      <xdr:nvSpPr>
        <xdr:cNvPr id="14" name="73">
          <a:extLst>
            <a:ext uri="{FF2B5EF4-FFF2-40B4-BE49-F238E27FC236}">
              <a16:creationId xmlns:a16="http://schemas.microsoft.com/office/drawing/2014/main" id="{F12420A6-A3DD-4BCD-BC9A-6FF2865B8E67}"/>
            </a:ext>
          </a:extLst>
        </xdr:cNvPr>
        <xdr:cNvSpPr/>
      </xdr:nvSpPr>
      <xdr:spPr>
        <a:xfrm>
          <a:off x="13982700" y="11744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76</xdr:row>
      <xdr:rowOff>76200</xdr:rowOff>
    </xdr:from>
    <xdr:to>
      <xdr:col>62</xdr:col>
      <xdr:colOff>0</xdr:colOff>
      <xdr:row>76</xdr:row>
      <xdr:rowOff>76200</xdr:rowOff>
    </xdr:to>
    <xdr:cxnSp macro="">
      <xdr:nvCxnSpPr>
        <xdr:cNvPr id="15" name="직선 화살표 연결선 14">
          <a:extLst>
            <a:ext uri="{FF2B5EF4-FFF2-40B4-BE49-F238E27FC236}">
              <a16:creationId xmlns:a16="http://schemas.microsoft.com/office/drawing/2014/main" id="{B4F6674A-B9A0-4AFC-BB9D-B95F1710E82D}"/>
            </a:ext>
          </a:extLst>
        </xdr:cNvPr>
        <xdr:cNvCxnSpPr/>
      </xdr:nvCxnSpPr>
      <xdr:spPr>
        <a:xfrm>
          <a:off x="13982700" y="1180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75</xdr:row>
      <xdr:rowOff>19050</xdr:rowOff>
    </xdr:from>
    <xdr:to>
      <xdr:col>48</xdr:col>
      <xdr:colOff>123734</xdr:colOff>
      <xdr:row>75</xdr:row>
      <xdr:rowOff>133350</xdr:rowOff>
    </xdr:to>
    <xdr:sp macro="" textlink="">
      <xdr:nvSpPr>
        <xdr:cNvPr id="16" name="72">
          <a:extLst>
            <a:ext uri="{FF2B5EF4-FFF2-40B4-BE49-F238E27FC236}">
              <a16:creationId xmlns:a16="http://schemas.microsoft.com/office/drawing/2014/main" id="{DFEDA140-FC07-4C1D-ABD3-E3AE94D877C0}"/>
            </a:ext>
          </a:extLst>
        </xdr:cNvPr>
        <xdr:cNvSpPr/>
      </xdr:nvSpPr>
      <xdr:spPr>
        <a:xfrm>
          <a:off x="10859860" y="11591925"/>
          <a:ext cx="1246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75</xdr:row>
      <xdr:rowOff>76200</xdr:rowOff>
    </xdr:from>
    <xdr:to>
      <xdr:col>40</xdr:col>
      <xdr:colOff>20410</xdr:colOff>
      <xdr:row>75</xdr:row>
      <xdr:rowOff>76200</xdr:rowOff>
    </xdr:to>
    <xdr:cxnSp macro="">
      <xdr:nvCxnSpPr>
        <xdr:cNvPr id="17" name="직선 화살표 연결선 16">
          <a:extLst>
            <a:ext uri="{FF2B5EF4-FFF2-40B4-BE49-F238E27FC236}">
              <a16:creationId xmlns:a16="http://schemas.microsoft.com/office/drawing/2014/main" id="{56DA046B-AEEA-4672-9C89-4375E032DCD1}"/>
            </a:ext>
          </a:extLst>
        </xdr:cNvPr>
        <xdr:cNvCxnSpPr/>
      </xdr:nvCxnSpPr>
      <xdr:spPr>
        <a:xfrm>
          <a:off x="10859860" y="1164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74</xdr:row>
      <xdr:rowOff>19050</xdr:rowOff>
    </xdr:from>
    <xdr:to>
      <xdr:col>66</xdr:col>
      <xdr:colOff>62502</xdr:colOff>
      <xdr:row>74</xdr:row>
      <xdr:rowOff>133350</xdr:rowOff>
    </xdr:to>
    <xdr:sp macro="" textlink="">
      <xdr:nvSpPr>
        <xdr:cNvPr id="18" name="71">
          <a:extLst>
            <a:ext uri="{FF2B5EF4-FFF2-40B4-BE49-F238E27FC236}">
              <a16:creationId xmlns:a16="http://schemas.microsoft.com/office/drawing/2014/main" id="{F1CA99B9-A1ED-4DC5-88FF-27F7A29B84F3}"/>
            </a:ext>
          </a:extLst>
        </xdr:cNvPr>
        <xdr:cNvSpPr/>
      </xdr:nvSpPr>
      <xdr:spPr>
        <a:xfrm>
          <a:off x="10859860" y="11439525"/>
          <a:ext cx="3756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74</xdr:row>
      <xdr:rowOff>76200</xdr:rowOff>
    </xdr:from>
    <xdr:to>
      <xdr:col>40</xdr:col>
      <xdr:colOff>20410</xdr:colOff>
      <xdr:row>74</xdr:row>
      <xdr:rowOff>76200</xdr:rowOff>
    </xdr:to>
    <xdr:cxnSp macro="">
      <xdr:nvCxnSpPr>
        <xdr:cNvPr id="19" name="직선 화살표 연결선 18">
          <a:extLst>
            <a:ext uri="{FF2B5EF4-FFF2-40B4-BE49-F238E27FC236}">
              <a16:creationId xmlns:a16="http://schemas.microsoft.com/office/drawing/2014/main" id="{ED6F7C87-35C4-45B3-B984-965E2CE38401}"/>
            </a:ext>
          </a:extLst>
        </xdr:cNvPr>
        <xdr:cNvCxnSpPr/>
      </xdr:nvCxnSpPr>
      <xdr:spPr>
        <a:xfrm>
          <a:off x="10859860" y="1149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73</xdr:row>
      <xdr:rowOff>19050</xdr:rowOff>
    </xdr:from>
    <xdr:to>
      <xdr:col>66</xdr:col>
      <xdr:colOff>62502</xdr:colOff>
      <xdr:row>73</xdr:row>
      <xdr:rowOff>133350</xdr:rowOff>
    </xdr:to>
    <xdr:sp macro="" textlink="">
      <xdr:nvSpPr>
        <xdr:cNvPr id="20" name="70">
          <a:extLst>
            <a:ext uri="{FF2B5EF4-FFF2-40B4-BE49-F238E27FC236}">
              <a16:creationId xmlns:a16="http://schemas.microsoft.com/office/drawing/2014/main" id="{AC78AD0A-142D-4882-BF5B-7902736E9114}"/>
            </a:ext>
          </a:extLst>
        </xdr:cNvPr>
        <xdr:cNvSpPr/>
      </xdr:nvSpPr>
      <xdr:spPr>
        <a:xfrm>
          <a:off x="10859860" y="11287125"/>
          <a:ext cx="3756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73</xdr:row>
      <xdr:rowOff>76200</xdr:rowOff>
    </xdr:from>
    <xdr:to>
      <xdr:col>40</xdr:col>
      <xdr:colOff>20410</xdr:colOff>
      <xdr:row>73</xdr:row>
      <xdr:rowOff>76200</xdr:rowOff>
    </xdr:to>
    <xdr:cxnSp macro="">
      <xdr:nvCxnSpPr>
        <xdr:cNvPr id="21" name="직선 화살표 연결선 20">
          <a:extLst>
            <a:ext uri="{FF2B5EF4-FFF2-40B4-BE49-F238E27FC236}">
              <a16:creationId xmlns:a16="http://schemas.microsoft.com/office/drawing/2014/main" id="{33DD3A84-EDB0-4537-8767-923E91BA850B}"/>
            </a:ext>
          </a:extLst>
        </xdr:cNvPr>
        <xdr:cNvCxnSpPr/>
      </xdr:nvCxnSpPr>
      <xdr:spPr>
        <a:xfrm>
          <a:off x="10859860" y="1134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72</xdr:row>
      <xdr:rowOff>19050</xdr:rowOff>
    </xdr:from>
    <xdr:to>
      <xdr:col>66</xdr:col>
      <xdr:colOff>62502</xdr:colOff>
      <xdr:row>72</xdr:row>
      <xdr:rowOff>133350</xdr:rowOff>
    </xdr:to>
    <xdr:sp macro="" textlink="">
      <xdr:nvSpPr>
        <xdr:cNvPr id="22" name="69">
          <a:extLst>
            <a:ext uri="{FF2B5EF4-FFF2-40B4-BE49-F238E27FC236}">
              <a16:creationId xmlns:a16="http://schemas.microsoft.com/office/drawing/2014/main" id="{D44DC839-F67C-4984-8B5F-69C43B447434}"/>
            </a:ext>
          </a:extLst>
        </xdr:cNvPr>
        <xdr:cNvSpPr/>
      </xdr:nvSpPr>
      <xdr:spPr>
        <a:xfrm>
          <a:off x="10859860" y="11134725"/>
          <a:ext cx="375684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72</xdr:row>
      <xdr:rowOff>76200</xdr:rowOff>
    </xdr:from>
    <xdr:to>
      <xdr:col>40</xdr:col>
      <xdr:colOff>20410</xdr:colOff>
      <xdr:row>72</xdr:row>
      <xdr:rowOff>76200</xdr:rowOff>
    </xdr:to>
    <xdr:cxnSp macro="">
      <xdr:nvCxnSpPr>
        <xdr:cNvPr id="23" name="직선 화살표 연결선 22">
          <a:extLst>
            <a:ext uri="{FF2B5EF4-FFF2-40B4-BE49-F238E27FC236}">
              <a16:creationId xmlns:a16="http://schemas.microsoft.com/office/drawing/2014/main" id="{F5C4588A-5057-46E7-AF7F-4E7B261BECFB}"/>
            </a:ext>
          </a:extLst>
        </xdr:cNvPr>
        <xdr:cNvCxnSpPr/>
      </xdr:nvCxnSpPr>
      <xdr:spPr>
        <a:xfrm>
          <a:off x="10859860" y="1119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71</xdr:row>
      <xdr:rowOff>19050</xdr:rowOff>
    </xdr:from>
    <xdr:to>
      <xdr:col>83</xdr:col>
      <xdr:colOff>123734</xdr:colOff>
      <xdr:row>71</xdr:row>
      <xdr:rowOff>133350</xdr:rowOff>
    </xdr:to>
    <xdr:sp macro="" textlink="">
      <xdr:nvSpPr>
        <xdr:cNvPr id="24" name="68">
          <a:extLst>
            <a:ext uri="{FF2B5EF4-FFF2-40B4-BE49-F238E27FC236}">
              <a16:creationId xmlns:a16="http://schemas.microsoft.com/office/drawing/2014/main" id="{9B72EB03-4EC4-455B-9043-349B9E4D060A}"/>
            </a:ext>
          </a:extLst>
        </xdr:cNvPr>
        <xdr:cNvSpPr/>
      </xdr:nvSpPr>
      <xdr:spPr>
        <a:xfrm>
          <a:off x="16472807" y="10982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71</xdr:row>
      <xdr:rowOff>76200</xdr:rowOff>
    </xdr:from>
    <xdr:to>
      <xdr:col>79</xdr:col>
      <xdr:colOff>61232</xdr:colOff>
      <xdr:row>71</xdr:row>
      <xdr:rowOff>76200</xdr:rowOff>
    </xdr:to>
    <xdr:cxnSp macro="">
      <xdr:nvCxnSpPr>
        <xdr:cNvPr id="25" name="직선 화살표 연결선 24">
          <a:extLst>
            <a:ext uri="{FF2B5EF4-FFF2-40B4-BE49-F238E27FC236}">
              <a16:creationId xmlns:a16="http://schemas.microsoft.com/office/drawing/2014/main" id="{F985027F-F180-4AA4-A22C-9A195EE7939F}"/>
            </a:ext>
          </a:extLst>
        </xdr:cNvPr>
        <xdr:cNvCxnSpPr/>
      </xdr:nvCxnSpPr>
      <xdr:spPr>
        <a:xfrm>
          <a:off x="16472807" y="1103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70</xdr:row>
      <xdr:rowOff>19050</xdr:rowOff>
    </xdr:from>
    <xdr:to>
      <xdr:col>83</xdr:col>
      <xdr:colOff>123734</xdr:colOff>
      <xdr:row>70</xdr:row>
      <xdr:rowOff>133350</xdr:rowOff>
    </xdr:to>
    <xdr:sp macro="" textlink="">
      <xdr:nvSpPr>
        <xdr:cNvPr id="26" name="67">
          <a:extLst>
            <a:ext uri="{FF2B5EF4-FFF2-40B4-BE49-F238E27FC236}">
              <a16:creationId xmlns:a16="http://schemas.microsoft.com/office/drawing/2014/main" id="{F3E6B108-318A-4072-A801-FAE886CAAF91}"/>
            </a:ext>
          </a:extLst>
        </xdr:cNvPr>
        <xdr:cNvSpPr/>
      </xdr:nvSpPr>
      <xdr:spPr>
        <a:xfrm>
          <a:off x="16472807" y="108299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70</xdr:row>
      <xdr:rowOff>76200</xdr:rowOff>
    </xdr:from>
    <xdr:to>
      <xdr:col>79</xdr:col>
      <xdr:colOff>61232</xdr:colOff>
      <xdr:row>70</xdr:row>
      <xdr:rowOff>76200</xdr:rowOff>
    </xdr:to>
    <xdr:cxnSp macro="">
      <xdr:nvCxnSpPr>
        <xdr:cNvPr id="27" name="직선 화살표 연결선 26">
          <a:extLst>
            <a:ext uri="{FF2B5EF4-FFF2-40B4-BE49-F238E27FC236}">
              <a16:creationId xmlns:a16="http://schemas.microsoft.com/office/drawing/2014/main" id="{C1CC46C6-55AE-4647-BA43-628F97F4F0D0}"/>
            </a:ext>
          </a:extLst>
        </xdr:cNvPr>
        <xdr:cNvCxnSpPr/>
      </xdr:nvCxnSpPr>
      <xdr:spPr>
        <a:xfrm>
          <a:off x="16472807" y="1088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69</xdr:row>
      <xdr:rowOff>19050</xdr:rowOff>
    </xdr:from>
    <xdr:to>
      <xdr:col>79</xdr:col>
      <xdr:colOff>62502</xdr:colOff>
      <xdr:row>69</xdr:row>
      <xdr:rowOff>133350</xdr:rowOff>
    </xdr:to>
    <xdr:sp macro="" textlink="">
      <xdr:nvSpPr>
        <xdr:cNvPr id="28" name="66">
          <a:extLst>
            <a:ext uri="{FF2B5EF4-FFF2-40B4-BE49-F238E27FC236}">
              <a16:creationId xmlns:a16="http://schemas.microsoft.com/office/drawing/2014/main" id="{584C4DD8-B18B-4435-85B0-ACA3534B090C}"/>
            </a:ext>
          </a:extLst>
        </xdr:cNvPr>
        <xdr:cNvSpPr/>
      </xdr:nvSpPr>
      <xdr:spPr>
        <a:xfrm>
          <a:off x="15860486" y="10677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69</xdr:row>
      <xdr:rowOff>76200</xdr:rowOff>
    </xdr:from>
    <xdr:to>
      <xdr:col>75</xdr:col>
      <xdr:colOff>20411</xdr:colOff>
      <xdr:row>69</xdr:row>
      <xdr:rowOff>76200</xdr:rowOff>
    </xdr:to>
    <xdr:cxnSp macro="">
      <xdr:nvCxnSpPr>
        <xdr:cNvPr id="29" name="직선 화살표 연결선 28">
          <a:extLst>
            <a:ext uri="{FF2B5EF4-FFF2-40B4-BE49-F238E27FC236}">
              <a16:creationId xmlns:a16="http://schemas.microsoft.com/office/drawing/2014/main" id="{8DFF9493-31ED-4C68-AA3E-505C306A2F0D}"/>
            </a:ext>
          </a:extLst>
        </xdr:cNvPr>
        <xdr:cNvCxnSpPr/>
      </xdr:nvCxnSpPr>
      <xdr:spPr>
        <a:xfrm>
          <a:off x="15860486" y="1073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68</xdr:row>
      <xdr:rowOff>19050</xdr:rowOff>
    </xdr:from>
    <xdr:to>
      <xdr:col>79</xdr:col>
      <xdr:colOff>62502</xdr:colOff>
      <xdr:row>68</xdr:row>
      <xdr:rowOff>133350</xdr:rowOff>
    </xdr:to>
    <xdr:sp macro="" textlink="">
      <xdr:nvSpPr>
        <xdr:cNvPr id="30" name="65">
          <a:extLst>
            <a:ext uri="{FF2B5EF4-FFF2-40B4-BE49-F238E27FC236}">
              <a16:creationId xmlns:a16="http://schemas.microsoft.com/office/drawing/2014/main" id="{F38FD6C4-D560-4AD4-92A6-595B1DDB0CA1}"/>
            </a:ext>
          </a:extLst>
        </xdr:cNvPr>
        <xdr:cNvSpPr/>
      </xdr:nvSpPr>
      <xdr:spPr>
        <a:xfrm>
          <a:off x="15860486" y="10525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68</xdr:row>
      <xdr:rowOff>76200</xdr:rowOff>
    </xdr:from>
    <xdr:to>
      <xdr:col>75</xdr:col>
      <xdr:colOff>20411</xdr:colOff>
      <xdr:row>68</xdr:row>
      <xdr:rowOff>76200</xdr:rowOff>
    </xdr:to>
    <xdr:cxnSp macro="">
      <xdr:nvCxnSpPr>
        <xdr:cNvPr id="31" name="직선 화살표 연결선 30">
          <a:extLst>
            <a:ext uri="{FF2B5EF4-FFF2-40B4-BE49-F238E27FC236}">
              <a16:creationId xmlns:a16="http://schemas.microsoft.com/office/drawing/2014/main" id="{DF2D581A-79BA-4DDF-A918-9B9F67661A7A}"/>
            </a:ext>
          </a:extLst>
        </xdr:cNvPr>
        <xdr:cNvCxnSpPr/>
      </xdr:nvCxnSpPr>
      <xdr:spPr>
        <a:xfrm>
          <a:off x="15860486" y="1058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67</xdr:row>
      <xdr:rowOff>19050</xdr:rowOff>
    </xdr:from>
    <xdr:to>
      <xdr:col>83</xdr:col>
      <xdr:colOff>123734</xdr:colOff>
      <xdr:row>67</xdr:row>
      <xdr:rowOff>133350</xdr:rowOff>
    </xdr:to>
    <xdr:sp macro="" textlink="">
      <xdr:nvSpPr>
        <xdr:cNvPr id="32" name="64">
          <a:extLst>
            <a:ext uri="{FF2B5EF4-FFF2-40B4-BE49-F238E27FC236}">
              <a16:creationId xmlns:a16="http://schemas.microsoft.com/office/drawing/2014/main" id="{2F4C9825-91D8-41A7-9922-F7648BA7E927}"/>
            </a:ext>
          </a:extLst>
        </xdr:cNvPr>
        <xdr:cNvSpPr/>
      </xdr:nvSpPr>
      <xdr:spPr>
        <a:xfrm>
          <a:off x="15860486" y="103727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67</xdr:row>
      <xdr:rowOff>76200</xdr:rowOff>
    </xdr:from>
    <xdr:to>
      <xdr:col>75</xdr:col>
      <xdr:colOff>20411</xdr:colOff>
      <xdr:row>67</xdr:row>
      <xdr:rowOff>76200</xdr:rowOff>
    </xdr:to>
    <xdr:cxnSp macro="">
      <xdr:nvCxnSpPr>
        <xdr:cNvPr id="33" name="직선 화살표 연결선 32">
          <a:extLst>
            <a:ext uri="{FF2B5EF4-FFF2-40B4-BE49-F238E27FC236}">
              <a16:creationId xmlns:a16="http://schemas.microsoft.com/office/drawing/2014/main" id="{CCAB4544-EF11-4EB1-A15B-DB6997A41997}"/>
            </a:ext>
          </a:extLst>
        </xdr:cNvPr>
        <xdr:cNvCxnSpPr/>
      </xdr:nvCxnSpPr>
      <xdr:spPr>
        <a:xfrm>
          <a:off x="15860486" y="1042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66</xdr:row>
      <xdr:rowOff>19050</xdr:rowOff>
    </xdr:from>
    <xdr:to>
      <xdr:col>53</xdr:col>
      <xdr:colOff>42091</xdr:colOff>
      <xdr:row>66</xdr:row>
      <xdr:rowOff>133350</xdr:rowOff>
    </xdr:to>
    <xdr:sp macro="" textlink="">
      <xdr:nvSpPr>
        <xdr:cNvPr id="34" name="63">
          <a:extLst>
            <a:ext uri="{FF2B5EF4-FFF2-40B4-BE49-F238E27FC236}">
              <a16:creationId xmlns:a16="http://schemas.microsoft.com/office/drawing/2014/main" id="{42DA2910-3BE1-46E2-B7A0-4A5AF6892988}"/>
            </a:ext>
          </a:extLst>
        </xdr:cNvPr>
        <xdr:cNvSpPr/>
      </xdr:nvSpPr>
      <xdr:spPr>
        <a:xfrm>
          <a:off x="12104915" y="10220325"/>
          <a:ext cx="63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66</xdr:row>
      <xdr:rowOff>76200</xdr:rowOff>
    </xdr:from>
    <xdr:to>
      <xdr:col>48</xdr:col>
      <xdr:colOff>122465</xdr:colOff>
      <xdr:row>66</xdr:row>
      <xdr:rowOff>76200</xdr:rowOff>
    </xdr:to>
    <xdr:cxnSp macro="">
      <xdr:nvCxnSpPr>
        <xdr:cNvPr id="35" name="직선 화살표 연결선 34">
          <a:extLst>
            <a:ext uri="{FF2B5EF4-FFF2-40B4-BE49-F238E27FC236}">
              <a16:creationId xmlns:a16="http://schemas.microsoft.com/office/drawing/2014/main" id="{345D137B-34DA-439B-8F2C-087A883F90CC}"/>
            </a:ext>
          </a:extLst>
        </xdr:cNvPr>
        <xdr:cNvCxnSpPr/>
      </xdr:nvCxnSpPr>
      <xdr:spPr>
        <a:xfrm>
          <a:off x="12104915"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65</xdr:row>
      <xdr:rowOff>19050</xdr:rowOff>
    </xdr:from>
    <xdr:to>
      <xdr:col>53</xdr:col>
      <xdr:colOff>42091</xdr:colOff>
      <xdr:row>65</xdr:row>
      <xdr:rowOff>133350</xdr:rowOff>
    </xdr:to>
    <xdr:sp macro="" textlink="">
      <xdr:nvSpPr>
        <xdr:cNvPr id="36" name="62">
          <a:extLst>
            <a:ext uri="{FF2B5EF4-FFF2-40B4-BE49-F238E27FC236}">
              <a16:creationId xmlns:a16="http://schemas.microsoft.com/office/drawing/2014/main" id="{8D8DDA2E-8AF8-4E72-B0FB-CF7CCAD42F2D}"/>
            </a:ext>
          </a:extLst>
        </xdr:cNvPr>
        <xdr:cNvSpPr/>
      </xdr:nvSpPr>
      <xdr:spPr>
        <a:xfrm>
          <a:off x="12104915" y="10067925"/>
          <a:ext cx="63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65</xdr:row>
      <xdr:rowOff>76200</xdr:rowOff>
    </xdr:from>
    <xdr:to>
      <xdr:col>48</xdr:col>
      <xdr:colOff>122465</xdr:colOff>
      <xdr:row>65</xdr:row>
      <xdr:rowOff>76200</xdr:rowOff>
    </xdr:to>
    <xdr:cxnSp macro="">
      <xdr:nvCxnSpPr>
        <xdr:cNvPr id="37" name="직선 화살표 연결선 36">
          <a:extLst>
            <a:ext uri="{FF2B5EF4-FFF2-40B4-BE49-F238E27FC236}">
              <a16:creationId xmlns:a16="http://schemas.microsoft.com/office/drawing/2014/main" id="{FD9A1A77-D13B-44BD-88E6-654DC9B3C909}"/>
            </a:ext>
          </a:extLst>
        </xdr:cNvPr>
        <xdr:cNvCxnSpPr/>
      </xdr:nvCxnSpPr>
      <xdr:spPr>
        <a:xfrm>
          <a:off x="12104915"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64</xdr:row>
      <xdr:rowOff>19050</xdr:rowOff>
    </xdr:from>
    <xdr:to>
      <xdr:col>48</xdr:col>
      <xdr:colOff>123734</xdr:colOff>
      <xdr:row>64</xdr:row>
      <xdr:rowOff>133350</xdr:rowOff>
    </xdr:to>
    <xdr:sp macro="" textlink="">
      <xdr:nvSpPr>
        <xdr:cNvPr id="38" name="61">
          <a:extLst>
            <a:ext uri="{FF2B5EF4-FFF2-40B4-BE49-F238E27FC236}">
              <a16:creationId xmlns:a16="http://schemas.microsoft.com/office/drawing/2014/main" id="{05F8C484-CF12-440C-9D5D-26A27881BF09}"/>
            </a:ext>
          </a:extLst>
        </xdr:cNvPr>
        <xdr:cNvSpPr/>
      </xdr:nvSpPr>
      <xdr:spPr>
        <a:xfrm>
          <a:off x="11492593" y="9915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64</xdr:row>
      <xdr:rowOff>76200</xdr:rowOff>
    </xdr:from>
    <xdr:to>
      <xdr:col>44</xdr:col>
      <xdr:colOff>81643</xdr:colOff>
      <xdr:row>64</xdr:row>
      <xdr:rowOff>76200</xdr:rowOff>
    </xdr:to>
    <xdr:cxnSp macro="">
      <xdr:nvCxnSpPr>
        <xdr:cNvPr id="39" name="직선 화살표 연결선 38">
          <a:extLst>
            <a:ext uri="{FF2B5EF4-FFF2-40B4-BE49-F238E27FC236}">
              <a16:creationId xmlns:a16="http://schemas.microsoft.com/office/drawing/2014/main" id="{25ED5B02-2AFC-4231-AA3E-87ADDA111534}"/>
            </a:ext>
          </a:extLst>
        </xdr:cNvPr>
        <xdr:cNvCxnSpPr/>
      </xdr:nvCxnSpPr>
      <xdr:spPr>
        <a:xfrm>
          <a:off x="11492593" y="997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63</xdr:row>
      <xdr:rowOff>19050</xdr:rowOff>
    </xdr:from>
    <xdr:to>
      <xdr:col>48</xdr:col>
      <xdr:colOff>123734</xdr:colOff>
      <xdr:row>63</xdr:row>
      <xdr:rowOff>133350</xdr:rowOff>
    </xdr:to>
    <xdr:sp macro="" textlink="">
      <xdr:nvSpPr>
        <xdr:cNvPr id="40" name="60">
          <a:extLst>
            <a:ext uri="{FF2B5EF4-FFF2-40B4-BE49-F238E27FC236}">
              <a16:creationId xmlns:a16="http://schemas.microsoft.com/office/drawing/2014/main" id="{4C39B336-2238-4D61-905A-839EC6C82511}"/>
            </a:ext>
          </a:extLst>
        </xdr:cNvPr>
        <xdr:cNvSpPr/>
      </xdr:nvSpPr>
      <xdr:spPr>
        <a:xfrm>
          <a:off x="11492593" y="9763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63</xdr:row>
      <xdr:rowOff>76200</xdr:rowOff>
    </xdr:from>
    <xdr:to>
      <xdr:col>44</xdr:col>
      <xdr:colOff>81643</xdr:colOff>
      <xdr:row>63</xdr:row>
      <xdr:rowOff>76200</xdr:rowOff>
    </xdr:to>
    <xdr:cxnSp macro="">
      <xdr:nvCxnSpPr>
        <xdr:cNvPr id="41" name="직선 화살표 연결선 40">
          <a:extLst>
            <a:ext uri="{FF2B5EF4-FFF2-40B4-BE49-F238E27FC236}">
              <a16:creationId xmlns:a16="http://schemas.microsoft.com/office/drawing/2014/main" id="{AFE459AD-0FE1-4384-BA71-02EE560D6B58}"/>
            </a:ext>
          </a:extLst>
        </xdr:cNvPr>
        <xdr:cNvCxnSpPr/>
      </xdr:nvCxnSpPr>
      <xdr:spPr>
        <a:xfrm>
          <a:off x="11492593" y="982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62</xdr:row>
      <xdr:rowOff>19050</xdr:rowOff>
    </xdr:from>
    <xdr:to>
      <xdr:col>53</xdr:col>
      <xdr:colOff>42091</xdr:colOff>
      <xdr:row>62</xdr:row>
      <xdr:rowOff>133350</xdr:rowOff>
    </xdr:to>
    <xdr:sp macro="" textlink="">
      <xdr:nvSpPr>
        <xdr:cNvPr id="42" name="59">
          <a:extLst>
            <a:ext uri="{FF2B5EF4-FFF2-40B4-BE49-F238E27FC236}">
              <a16:creationId xmlns:a16="http://schemas.microsoft.com/office/drawing/2014/main" id="{12323A5D-D024-4E61-A672-D4655D2B79B2}"/>
            </a:ext>
          </a:extLst>
        </xdr:cNvPr>
        <xdr:cNvSpPr/>
      </xdr:nvSpPr>
      <xdr:spPr>
        <a:xfrm>
          <a:off x="11492593" y="96107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62</xdr:row>
      <xdr:rowOff>76200</xdr:rowOff>
    </xdr:from>
    <xdr:to>
      <xdr:col>44</xdr:col>
      <xdr:colOff>81643</xdr:colOff>
      <xdr:row>62</xdr:row>
      <xdr:rowOff>76200</xdr:rowOff>
    </xdr:to>
    <xdr:cxnSp macro="">
      <xdr:nvCxnSpPr>
        <xdr:cNvPr id="43" name="직선 화살표 연결선 42">
          <a:extLst>
            <a:ext uri="{FF2B5EF4-FFF2-40B4-BE49-F238E27FC236}">
              <a16:creationId xmlns:a16="http://schemas.microsoft.com/office/drawing/2014/main" id="{8816E8C6-0B5B-4DC3-8A01-F70866A9A991}"/>
            </a:ext>
          </a:extLst>
        </xdr:cNvPr>
        <xdr:cNvCxnSpPr/>
      </xdr:nvCxnSpPr>
      <xdr:spPr>
        <a:xfrm>
          <a:off x="11492593" y="966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61</xdr:row>
      <xdr:rowOff>19050</xdr:rowOff>
    </xdr:from>
    <xdr:to>
      <xdr:col>83</xdr:col>
      <xdr:colOff>123734</xdr:colOff>
      <xdr:row>61</xdr:row>
      <xdr:rowOff>133350</xdr:rowOff>
    </xdr:to>
    <xdr:sp macro="" textlink="">
      <xdr:nvSpPr>
        <xdr:cNvPr id="44" name="58">
          <a:extLst>
            <a:ext uri="{FF2B5EF4-FFF2-40B4-BE49-F238E27FC236}">
              <a16:creationId xmlns:a16="http://schemas.microsoft.com/office/drawing/2014/main" id="{9D1EBC2A-F7A9-4B16-8427-45330559BD88}"/>
            </a:ext>
          </a:extLst>
        </xdr:cNvPr>
        <xdr:cNvSpPr/>
      </xdr:nvSpPr>
      <xdr:spPr>
        <a:xfrm>
          <a:off x="11492593" y="9458325"/>
          <a:ext cx="56142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61</xdr:row>
      <xdr:rowOff>76200</xdr:rowOff>
    </xdr:from>
    <xdr:to>
      <xdr:col>44</xdr:col>
      <xdr:colOff>81643</xdr:colOff>
      <xdr:row>61</xdr:row>
      <xdr:rowOff>76200</xdr:rowOff>
    </xdr:to>
    <xdr:cxnSp macro="">
      <xdr:nvCxnSpPr>
        <xdr:cNvPr id="45" name="직선 화살표 연결선 44">
          <a:extLst>
            <a:ext uri="{FF2B5EF4-FFF2-40B4-BE49-F238E27FC236}">
              <a16:creationId xmlns:a16="http://schemas.microsoft.com/office/drawing/2014/main" id="{1356ECB1-4739-4E2A-843F-F825EE4E3562}"/>
            </a:ext>
          </a:extLst>
        </xdr:cNvPr>
        <xdr:cNvCxnSpPr/>
      </xdr:nvCxnSpPr>
      <xdr:spPr>
        <a:xfrm>
          <a:off x="11492593" y="951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60</xdr:row>
      <xdr:rowOff>19050</xdr:rowOff>
    </xdr:from>
    <xdr:to>
      <xdr:col>83</xdr:col>
      <xdr:colOff>123734</xdr:colOff>
      <xdr:row>60</xdr:row>
      <xdr:rowOff>133350</xdr:rowOff>
    </xdr:to>
    <xdr:sp macro="" textlink="">
      <xdr:nvSpPr>
        <xdr:cNvPr id="46" name="57">
          <a:extLst>
            <a:ext uri="{FF2B5EF4-FFF2-40B4-BE49-F238E27FC236}">
              <a16:creationId xmlns:a16="http://schemas.microsoft.com/office/drawing/2014/main" id="{5B1CA714-4A4D-4FD8-92D8-6E7E77DF4A88}"/>
            </a:ext>
          </a:extLst>
        </xdr:cNvPr>
        <xdr:cNvSpPr/>
      </xdr:nvSpPr>
      <xdr:spPr>
        <a:xfrm>
          <a:off x="16472807" y="93059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60</xdr:row>
      <xdr:rowOff>76200</xdr:rowOff>
    </xdr:from>
    <xdr:to>
      <xdr:col>79</xdr:col>
      <xdr:colOff>61232</xdr:colOff>
      <xdr:row>60</xdr:row>
      <xdr:rowOff>76200</xdr:rowOff>
    </xdr:to>
    <xdr:cxnSp macro="">
      <xdr:nvCxnSpPr>
        <xdr:cNvPr id="47" name="직선 화살표 연결선 46">
          <a:extLst>
            <a:ext uri="{FF2B5EF4-FFF2-40B4-BE49-F238E27FC236}">
              <a16:creationId xmlns:a16="http://schemas.microsoft.com/office/drawing/2014/main" id="{46998DE7-B7FB-4726-B85E-17B61065775A}"/>
            </a:ext>
          </a:extLst>
        </xdr:cNvPr>
        <xdr:cNvCxnSpPr/>
      </xdr:nvCxnSpPr>
      <xdr:spPr>
        <a:xfrm>
          <a:off x="16472807" y="936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59</xdr:row>
      <xdr:rowOff>19050</xdr:rowOff>
    </xdr:from>
    <xdr:to>
      <xdr:col>79</xdr:col>
      <xdr:colOff>62502</xdr:colOff>
      <xdr:row>59</xdr:row>
      <xdr:rowOff>133350</xdr:rowOff>
    </xdr:to>
    <xdr:sp macro="" textlink="">
      <xdr:nvSpPr>
        <xdr:cNvPr id="48" name="56">
          <a:extLst>
            <a:ext uri="{FF2B5EF4-FFF2-40B4-BE49-F238E27FC236}">
              <a16:creationId xmlns:a16="http://schemas.microsoft.com/office/drawing/2014/main" id="{6C46D97A-155B-488A-88DE-59B5D5DCE4B0}"/>
            </a:ext>
          </a:extLst>
        </xdr:cNvPr>
        <xdr:cNvSpPr/>
      </xdr:nvSpPr>
      <xdr:spPr>
        <a:xfrm>
          <a:off x="15860486" y="9153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59</xdr:row>
      <xdr:rowOff>76200</xdr:rowOff>
    </xdr:from>
    <xdr:to>
      <xdr:col>75</xdr:col>
      <xdr:colOff>20411</xdr:colOff>
      <xdr:row>59</xdr:row>
      <xdr:rowOff>76200</xdr:rowOff>
    </xdr:to>
    <xdr:cxnSp macro="">
      <xdr:nvCxnSpPr>
        <xdr:cNvPr id="49" name="직선 화살표 연결선 48">
          <a:extLst>
            <a:ext uri="{FF2B5EF4-FFF2-40B4-BE49-F238E27FC236}">
              <a16:creationId xmlns:a16="http://schemas.microsoft.com/office/drawing/2014/main" id="{F75F1B61-C061-419A-AAC7-FD2CBE05A7C1}"/>
            </a:ext>
          </a:extLst>
        </xdr:cNvPr>
        <xdr:cNvCxnSpPr/>
      </xdr:nvCxnSpPr>
      <xdr:spPr>
        <a:xfrm>
          <a:off x="15860486" y="921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58</xdr:row>
      <xdr:rowOff>19050</xdr:rowOff>
    </xdr:from>
    <xdr:to>
      <xdr:col>66</xdr:col>
      <xdr:colOff>62502</xdr:colOff>
      <xdr:row>58</xdr:row>
      <xdr:rowOff>133350</xdr:rowOff>
    </xdr:to>
    <xdr:sp macro="" textlink="">
      <xdr:nvSpPr>
        <xdr:cNvPr id="50" name="55">
          <a:extLst>
            <a:ext uri="{FF2B5EF4-FFF2-40B4-BE49-F238E27FC236}">
              <a16:creationId xmlns:a16="http://schemas.microsoft.com/office/drawing/2014/main" id="{D1BAB905-0670-4DEE-B07D-051EAA28F460}"/>
            </a:ext>
          </a:extLst>
        </xdr:cNvPr>
        <xdr:cNvSpPr/>
      </xdr:nvSpPr>
      <xdr:spPr>
        <a:xfrm>
          <a:off x="13982700" y="9001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58</xdr:row>
      <xdr:rowOff>76200</xdr:rowOff>
    </xdr:from>
    <xdr:to>
      <xdr:col>62</xdr:col>
      <xdr:colOff>0</xdr:colOff>
      <xdr:row>58</xdr:row>
      <xdr:rowOff>76200</xdr:rowOff>
    </xdr:to>
    <xdr:cxnSp macro="">
      <xdr:nvCxnSpPr>
        <xdr:cNvPr id="51" name="직선 화살표 연결선 50">
          <a:extLst>
            <a:ext uri="{FF2B5EF4-FFF2-40B4-BE49-F238E27FC236}">
              <a16:creationId xmlns:a16="http://schemas.microsoft.com/office/drawing/2014/main" id="{400795CB-3FE9-4DF0-A959-F543BF36A1D8}"/>
            </a:ext>
          </a:extLst>
        </xdr:cNvPr>
        <xdr:cNvCxnSpPr/>
      </xdr:nvCxnSpPr>
      <xdr:spPr>
        <a:xfrm>
          <a:off x="13982700"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57</xdr:row>
      <xdr:rowOff>19050</xdr:rowOff>
    </xdr:from>
    <xdr:to>
      <xdr:col>62</xdr:col>
      <xdr:colOff>1270</xdr:colOff>
      <xdr:row>57</xdr:row>
      <xdr:rowOff>133350</xdr:rowOff>
    </xdr:to>
    <xdr:sp macro="" textlink="">
      <xdr:nvSpPr>
        <xdr:cNvPr id="52" name="54">
          <a:extLst>
            <a:ext uri="{FF2B5EF4-FFF2-40B4-BE49-F238E27FC236}">
              <a16:creationId xmlns:a16="http://schemas.microsoft.com/office/drawing/2014/main" id="{941222DC-08A0-4187-96F3-C130BE874241}"/>
            </a:ext>
          </a:extLst>
        </xdr:cNvPr>
        <xdr:cNvSpPr/>
      </xdr:nvSpPr>
      <xdr:spPr>
        <a:xfrm>
          <a:off x="13349968" y="8848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57</xdr:row>
      <xdr:rowOff>76200</xdr:rowOff>
    </xdr:from>
    <xdr:to>
      <xdr:col>57</xdr:col>
      <xdr:colOff>81643</xdr:colOff>
      <xdr:row>57</xdr:row>
      <xdr:rowOff>76200</xdr:rowOff>
    </xdr:to>
    <xdr:cxnSp macro="">
      <xdr:nvCxnSpPr>
        <xdr:cNvPr id="53" name="직선 화살표 연결선 52">
          <a:extLst>
            <a:ext uri="{FF2B5EF4-FFF2-40B4-BE49-F238E27FC236}">
              <a16:creationId xmlns:a16="http://schemas.microsoft.com/office/drawing/2014/main" id="{D432786B-7A41-4134-9B05-59B2B18D2BAC}"/>
            </a:ext>
          </a:extLst>
        </xdr:cNvPr>
        <xdr:cNvCxnSpPr/>
      </xdr:nvCxnSpPr>
      <xdr:spPr>
        <a:xfrm>
          <a:off x="13349968"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56</xdr:row>
      <xdr:rowOff>19050</xdr:rowOff>
    </xdr:from>
    <xdr:to>
      <xdr:col>66</xdr:col>
      <xdr:colOff>62502</xdr:colOff>
      <xdr:row>56</xdr:row>
      <xdr:rowOff>133350</xdr:rowOff>
    </xdr:to>
    <xdr:sp macro="" textlink="">
      <xdr:nvSpPr>
        <xdr:cNvPr id="54" name="53">
          <a:extLst>
            <a:ext uri="{FF2B5EF4-FFF2-40B4-BE49-F238E27FC236}">
              <a16:creationId xmlns:a16="http://schemas.microsoft.com/office/drawing/2014/main" id="{EBAE6FD1-A520-4A3A-97A0-AEA0BF6CBF38}"/>
            </a:ext>
          </a:extLst>
        </xdr:cNvPr>
        <xdr:cNvSpPr/>
      </xdr:nvSpPr>
      <xdr:spPr>
        <a:xfrm>
          <a:off x="13982700" y="8696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56</xdr:row>
      <xdr:rowOff>76200</xdr:rowOff>
    </xdr:from>
    <xdr:to>
      <xdr:col>62</xdr:col>
      <xdr:colOff>0</xdr:colOff>
      <xdr:row>56</xdr:row>
      <xdr:rowOff>76200</xdr:rowOff>
    </xdr:to>
    <xdr:cxnSp macro="">
      <xdr:nvCxnSpPr>
        <xdr:cNvPr id="55" name="직선 화살표 연결선 54">
          <a:extLst>
            <a:ext uri="{FF2B5EF4-FFF2-40B4-BE49-F238E27FC236}">
              <a16:creationId xmlns:a16="http://schemas.microsoft.com/office/drawing/2014/main" id="{02647559-3617-494C-A898-EA4329E14A1D}"/>
            </a:ext>
          </a:extLst>
        </xdr:cNvPr>
        <xdr:cNvCxnSpPr/>
      </xdr:nvCxnSpPr>
      <xdr:spPr>
        <a:xfrm>
          <a:off x="13982700" y="875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55</xdr:row>
      <xdr:rowOff>19050</xdr:rowOff>
    </xdr:from>
    <xdr:to>
      <xdr:col>62</xdr:col>
      <xdr:colOff>1270</xdr:colOff>
      <xdr:row>55</xdr:row>
      <xdr:rowOff>133350</xdr:rowOff>
    </xdr:to>
    <xdr:sp macro="" textlink="">
      <xdr:nvSpPr>
        <xdr:cNvPr id="56" name="52">
          <a:extLst>
            <a:ext uri="{FF2B5EF4-FFF2-40B4-BE49-F238E27FC236}">
              <a16:creationId xmlns:a16="http://schemas.microsoft.com/office/drawing/2014/main" id="{763D8090-821A-44C0-8C11-569D02285B5B}"/>
            </a:ext>
          </a:extLst>
        </xdr:cNvPr>
        <xdr:cNvSpPr/>
      </xdr:nvSpPr>
      <xdr:spPr>
        <a:xfrm>
          <a:off x="13349968" y="85439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55</xdr:row>
      <xdr:rowOff>76200</xdr:rowOff>
    </xdr:from>
    <xdr:to>
      <xdr:col>57</xdr:col>
      <xdr:colOff>81643</xdr:colOff>
      <xdr:row>55</xdr:row>
      <xdr:rowOff>76200</xdr:rowOff>
    </xdr:to>
    <xdr:cxnSp macro="">
      <xdr:nvCxnSpPr>
        <xdr:cNvPr id="57" name="직선 화살표 연결선 56">
          <a:extLst>
            <a:ext uri="{FF2B5EF4-FFF2-40B4-BE49-F238E27FC236}">
              <a16:creationId xmlns:a16="http://schemas.microsoft.com/office/drawing/2014/main" id="{5B7C5872-9917-407D-A985-38FEA1A882BC}"/>
            </a:ext>
          </a:extLst>
        </xdr:cNvPr>
        <xdr:cNvCxnSpPr/>
      </xdr:nvCxnSpPr>
      <xdr:spPr>
        <a:xfrm>
          <a:off x="13349968" y="860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54</xdr:row>
      <xdr:rowOff>19050</xdr:rowOff>
    </xdr:from>
    <xdr:to>
      <xdr:col>66</xdr:col>
      <xdr:colOff>62502</xdr:colOff>
      <xdr:row>54</xdr:row>
      <xdr:rowOff>133350</xdr:rowOff>
    </xdr:to>
    <xdr:sp macro="" textlink="">
      <xdr:nvSpPr>
        <xdr:cNvPr id="58" name="51">
          <a:extLst>
            <a:ext uri="{FF2B5EF4-FFF2-40B4-BE49-F238E27FC236}">
              <a16:creationId xmlns:a16="http://schemas.microsoft.com/office/drawing/2014/main" id="{3E653331-6FA3-4964-91E9-14256DF73FD8}"/>
            </a:ext>
          </a:extLst>
        </xdr:cNvPr>
        <xdr:cNvSpPr/>
      </xdr:nvSpPr>
      <xdr:spPr>
        <a:xfrm>
          <a:off x="13982700" y="83915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54</xdr:row>
      <xdr:rowOff>76200</xdr:rowOff>
    </xdr:from>
    <xdr:to>
      <xdr:col>62</xdr:col>
      <xdr:colOff>0</xdr:colOff>
      <xdr:row>54</xdr:row>
      <xdr:rowOff>76200</xdr:rowOff>
    </xdr:to>
    <xdr:cxnSp macro="">
      <xdr:nvCxnSpPr>
        <xdr:cNvPr id="59" name="직선 화살표 연결선 58">
          <a:extLst>
            <a:ext uri="{FF2B5EF4-FFF2-40B4-BE49-F238E27FC236}">
              <a16:creationId xmlns:a16="http://schemas.microsoft.com/office/drawing/2014/main" id="{0943AC90-6DA3-49DD-81F6-3D518BF48122}"/>
            </a:ext>
          </a:extLst>
        </xdr:cNvPr>
        <xdr:cNvCxnSpPr/>
      </xdr:nvCxnSpPr>
      <xdr:spPr>
        <a:xfrm>
          <a:off x="13982700" y="844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53</xdr:row>
      <xdr:rowOff>19050</xdr:rowOff>
    </xdr:from>
    <xdr:to>
      <xdr:col>62</xdr:col>
      <xdr:colOff>1270</xdr:colOff>
      <xdr:row>53</xdr:row>
      <xdr:rowOff>133350</xdr:rowOff>
    </xdr:to>
    <xdr:sp macro="" textlink="">
      <xdr:nvSpPr>
        <xdr:cNvPr id="60" name="50">
          <a:extLst>
            <a:ext uri="{FF2B5EF4-FFF2-40B4-BE49-F238E27FC236}">
              <a16:creationId xmlns:a16="http://schemas.microsoft.com/office/drawing/2014/main" id="{44BFD261-D503-4E3D-93BB-B2C0C9D35C8C}"/>
            </a:ext>
          </a:extLst>
        </xdr:cNvPr>
        <xdr:cNvSpPr/>
      </xdr:nvSpPr>
      <xdr:spPr>
        <a:xfrm>
          <a:off x="13349968" y="8239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53</xdr:row>
      <xdr:rowOff>76200</xdr:rowOff>
    </xdr:from>
    <xdr:to>
      <xdr:col>57</xdr:col>
      <xdr:colOff>81643</xdr:colOff>
      <xdr:row>53</xdr:row>
      <xdr:rowOff>76200</xdr:rowOff>
    </xdr:to>
    <xdr:cxnSp macro="">
      <xdr:nvCxnSpPr>
        <xdr:cNvPr id="61" name="직선 화살표 연결선 60">
          <a:extLst>
            <a:ext uri="{FF2B5EF4-FFF2-40B4-BE49-F238E27FC236}">
              <a16:creationId xmlns:a16="http://schemas.microsoft.com/office/drawing/2014/main" id="{7B1C2FF0-CD12-4B37-B9E8-819BC52190B0}"/>
            </a:ext>
          </a:extLst>
        </xdr:cNvPr>
        <xdr:cNvCxnSpPr/>
      </xdr:nvCxnSpPr>
      <xdr:spPr>
        <a:xfrm>
          <a:off x="13349968"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52</xdr:row>
      <xdr:rowOff>19050</xdr:rowOff>
    </xdr:from>
    <xdr:to>
      <xdr:col>83</xdr:col>
      <xdr:colOff>123734</xdr:colOff>
      <xdr:row>52</xdr:row>
      <xdr:rowOff>133350</xdr:rowOff>
    </xdr:to>
    <xdr:sp macro="" textlink="">
      <xdr:nvSpPr>
        <xdr:cNvPr id="62" name="49">
          <a:extLst>
            <a:ext uri="{FF2B5EF4-FFF2-40B4-BE49-F238E27FC236}">
              <a16:creationId xmlns:a16="http://schemas.microsoft.com/office/drawing/2014/main" id="{83850407-5D63-418D-A954-3AB1D1645322}"/>
            </a:ext>
          </a:extLst>
        </xdr:cNvPr>
        <xdr:cNvSpPr/>
      </xdr:nvSpPr>
      <xdr:spPr>
        <a:xfrm>
          <a:off x="13349968" y="8086725"/>
          <a:ext cx="3756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52</xdr:row>
      <xdr:rowOff>76200</xdr:rowOff>
    </xdr:from>
    <xdr:to>
      <xdr:col>57</xdr:col>
      <xdr:colOff>81643</xdr:colOff>
      <xdr:row>52</xdr:row>
      <xdr:rowOff>76200</xdr:rowOff>
    </xdr:to>
    <xdr:cxnSp macro="">
      <xdr:nvCxnSpPr>
        <xdr:cNvPr id="63" name="직선 화살표 연결선 62">
          <a:extLst>
            <a:ext uri="{FF2B5EF4-FFF2-40B4-BE49-F238E27FC236}">
              <a16:creationId xmlns:a16="http://schemas.microsoft.com/office/drawing/2014/main" id="{78632188-4824-4674-8AEB-F15F7568BB66}"/>
            </a:ext>
          </a:extLst>
        </xdr:cNvPr>
        <xdr:cNvCxnSpPr/>
      </xdr:nvCxnSpPr>
      <xdr:spPr>
        <a:xfrm>
          <a:off x="13349968"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51</xdr:row>
      <xdr:rowOff>19050</xdr:rowOff>
    </xdr:from>
    <xdr:to>
      <xdr:col>44</xdr:col>
      <xdr:colOff>82913</xdr:colOff>
      <xdr:row>51</xdr:row>
      <xdr:rowOff>133350</xdr:rowOff>
    </xdr:to>
    <xdr:sp macro="" textlink="">
      <xdr:nvSpPr>
        <xdr:cNvPr id="25088" name="48">
          <a:extLst>
            <a:ext uri="{FF2B5EF4-FFF2-40B4-BE49-F238E27FC236}">
              <a16:creationId xmlns:a16="http://schemas.microsoft.com/office/drawing/2014/main" id="{6F0499A5-2836-4F51-81F0-2DA3BE2B822B}"/>
            </a:ext>
          </a:extLst>
        </xdr:cNvPr>
        <xdr:cNvSpPr/>
      </xdr:nvSpPr>
      <xdr:spPr>
        <a:xfrm>
          <a:off x="10859860" y="79343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51</xdr:row>
      <xdr:rowOff>76200</xdr:rowOff>
    </xdr:from>
    <xdr:to>
      <xdr:col>40</xdr:col>
      <xdr:colOff>20410</xdr:colOff>
      <xdr:row>51</xdr:row>
      <xdr:rowOff>76200</xdr:rowOff>
    </xdr:to>
    <xdr:cxnSp macro="">
      <xdr:nvCxnSpPr>
        <xdr:cNvPr id="25089" name="직선 화살표 연결선 25088">
          <a:extLst>
            <a:ext uri="{FF2B5EF4-FFF2-40B4-BE49-F238E27FC236}">
              <a16:creationId xmlns:a16="http://schemas.microsoft.com/office/drawing/2014/main" id="{D878909C-0A76-403C-830C-658047A40868}"/>
            </a:ext>
          </a:extLst>
        </xdr:cNvPr>
        <xdr:cNvCxnSpPr/>
      </xdr:nvCxnSpPr>
      <xdr:spPr>
        <a:xfrm>
          <a:off x="10859860" y="799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50</xdr:row>
      <xdr:rowOff>19050</xdr:rowOff>
    </xdr:from>
    <xdr:to>
      <xdr:col>40</xdr:col>
      <xdr:colOff>21680</xdr:colOff>
      <xdr:row>50</xdr:row>
      <xdr:rowOff>133350</xdr:rowOff>
    </xdr:to>
    <xdr:sp macro="" textlink="">
      <xdr:nvSpPr>
        <xdr:cNvPr id="25090" name="47">
          <a:extLst>
            <a:ext uri="{FF2B5EF4-FFF2-40B4-BE49-F238E27FC236}">
              <a16:creationId xmlns:a16="http://schemas.microsoft.com/office/drawing/2014/main" id="{00794448-850D-47C8-AA04-E6CC420BB2F4}"/>
            </a:ext>
          </a:extLst>
        </xdr:cNvPr>
        <xdr:cNvSpPr/>
      </xdr:nvSpPr>
      <xdr:spPr>
        <a:xfrm>
          <a:off x="9655628" y="77819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50</xdr:row>
      <xdr:rowOff>76200</xdr:rowOff>
    </xdr:from>
    <xdr:to>
      <xdr:col>31</xdr:col>
      <xdr:colOff>102053</xdr:colOff>
      <xdr:row>50</xdr:row>
      <xdr:rowOff>76200</xdr:rowOff>
    </xdr:to>
    <xdr:cxnSp macro="">
      <xdr:nvCxnSpPr>
        <xdr:cNvPr id="25091" name="직선 화살표 연결선 25090">
          <a:extLst>
            <a:ext uri="{FF2B5EF4-FFF2-40B4-BE49-F238E27FC236}">
              <a16:creationId xmlns:a16="http://schemas.microsoft.com/office/drawing/2014/main" id="{718B04A8-FA23-4BDD-A95F-DB84DB2C30E0}"/>
            </a:ext>
          </a:extLst>
        </xdr:cNvPr>
        <xdr:cNvCxnSpPr/>
      </xdr:nvCxnSpPr>
      <xdr:spPr>
        <a:xfrm>
          <a:off x="9655628" y="783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49</xdr:row>
      <xdr:rowOff>19050</xdr:rowOff>
    </xdr:from>
    <xdr:to>
      <xdr:col>44</xdr:col>
      <xdr:colOff>82913</xdr:colOff>
      <xdr:row>49</xdr:row>
      <xdr:rowOff>133350</xdr:rowOff>
    </xdr:to>
    <xdr:sp macro="" textlink="">
      <xdr:nvSpPr>
        <xdr:cNvPr id="25092" name="46">
          <a:extLst>
            <a:ext uri="{FF2B5EF4-FFF2-40B4-BE49-F238E27FC236}">
              <a16:creationId xmlns:a16="http://schemas.microsoft.com/office/drawing/2014/main" id="{FA5F8AAB-F051-4652-9084-36B2800A0CB2}"/>
            </a:ext>
          </a:extLst>
        </xdr:cNvPr>
        <xdr:cNvSpPr/>
      </xdr:nvSpPr>
      <xdr:spPr>
        <a:xfrm>
          <a:off x="9655628" y="7629525"/>
          <a:ext cx="18382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49</xdr:row>
      <xdr:rowOff>76200</xdr:rowOff>
    </xdr:from>
    <xdr:to>
      <xdr:col>31</xdr:col>
      <xdr:colOff>102053</xdr:colOff>
      <xdr:row>49</xdr:row>
      <xdr:rowOff>76200</xdr:rowOff>
    </xdr:to>
    <xdr:cxnSp macro="">
      <xdr:nvCxnSpPr>
        <xdr:cNvPr id="25093" name="직선 화살표 연결선 25092">
          <a:extLst>
            <a:ext uri="{FF2B5EF4-FFF2-40B4-BE49-F238E27FC236}">
              <a16:creationId xmlns:a16="http://schemas.microsoft.com/office/drawing/2014/main" id="{3239C672-2DCD-48AD-AA3D-EC3149C8C02A}"/>
            </a:ext>
          </a:extLst>
        </xdr:cNvPr>
        <xdr:cNvCxnSpPr/>
      </xdr:nvCxnSpPr>
      <xdr:spPr>
        <a:xfrm>
          <a:off x="9655628" y="768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48</xdr:row>
      <xdr:rowOff>19050</xdr:rowOff>
    </xdr:from>
    <xdr:to>
      <xdr:col>83</xdr:col>
      <xdr:colOff>123734</xdr:colOff>
      <xdr:row>48</xdr:row>
      <xdr:rowOff>133350</xdr:rowOff>
    </xdr:to>
    <xdr:sp macro="" textlink="">
      <xdr:nvSpPr>
        <xdr:cNvPr id="25094" name="45">
          <a:extLst>
            <a:ext uri="{FF2B5EF4-FFF2-40B4-BE49-F238E27FC236}">
              <a16:creationId xmlns:a16="http://schemas.microsoft.com/office/drawing/2014/main" id="{7322DBC2-D3EE-4EAE-9E1E-0281F1FE8364}"/>
            </a:ext>
          </a:extLst>
        </xdr:cNvPr>
        <xdr:cNvSpPr/>
      </xdr:nvSpPr>
      <xdr:spPr>
        <a:xfrm>
          <a:off x="9655628" y="74771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48</xdr:row>
      <xdr:rowOff>76200</xdr:rowOff>
    </xdr:from>
    <xdr:to>
      <xdr:col>31</xdr:col>
      <xdr:colOff>102053</xdr:colOff>
      <xdr:row>48</xdr:row>
      <xdr:rowOff>76200</xdr:rowOff>
    </xdr:to>
    <xdr:cxnSp macro="">
      <xdr:nvCxnSpPr>
        <xdr:cNvPr id="25095" name="직선 화살표 연결선 25094">
          <a:extLst>
            <a:ext uri="{FF2B5EF4-FFF2-40B4-BE49-F238E27FC236}">
              <a16:creationId xmlns:a16="http://schemas.microsoft.com/office/drawing/2014/main" id="{208563C1-0EB3-492F-860D-CFF2A0B57BF3}"/>
            </a:ext>
          </a:extLst>
        </xdr:cNvPr>
        <xdr:cNvCxnSpPr/>
      </xdr:nvCxnSpPr>
      <xdr:spPr>
        <a:xfrm>
          <a:off x="9655628"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47</xdr:row>
      <xdr:rowOff>19050</xdr:rowOff>
    </xdr:from>
    <xdr:to>
      <xdr:col>83</xdr:col>
      <xdr:colOff>123734</xdr:colOff>
      <xdr:row>47</xdr:row>
      <xdr:rowOff>133350</xdr:rowOff>
    </xdr:to>
    <xdr:sp macro="" textlink="">
      <xdr:nvSpPr>
        <xdr:cNvPr id="25096" name="44">
          <a:extLst>
            <a:ext uri="{FF2B5EF4-FFF2-40B4-BE49-F238E27FC236}">
              <a16:creationId xmlns:a16="http://schemas.microsoft.com/office/drawing/2014/main" id="{9EB7C1FE-3E05-4A49-8997-8DF53A27836A}"/>
            </a:ext>
          </a:extLst>
        </xdr:cNvPr>
        <xdr:cNvSpPr/>
      </xdr:nvSpPr>
      <xdr:spPr>
        <a:xfrm>
          <a:off x="9655628" y="73247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47</xdr:row>
      <xdr:rowOff>76200</xdr:rowOff>
    </xdr:from>
    <xdr:to>
      <xdr:col>31</xdr:col>
      <xdr:colOff>102053</xdr:colOff>
      <xdr:row>47</xdr:row>
      <xdr:rowOff>76200</xdr:rowOff>
    </xdr:to>
    <xdr:cxnSp macro="">
      <xdr:nvCxnSpPr>
        <xdr:cNvPr id="25097" name="직선 화살표 연결선 25096">
          <a:extLst>
            <a:ext uri="{FF2B5EF4-FFF2-40B4-BE49-F238E27FC236}">
              <a16:creationId xmlns:a16="http://schemas.microsoft.com/office/drawing/2014/main" id="{E442B728-288F-4541-A588-AEFCD6D66E07}"/>
            </a:ext>
          </a:extLst>
        </xdr:cNvPr>
        <xdr:cNvCxnSpPr/>
      </xdr:nvCxnSpPr>
      <xdr:spPr>
        <a:xfrm>
          <a:off x="9655628"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46</xdr:row>
      <xdr:rowOff>19050</xdr:rowOff>
    </xdr:from>
    <xdr:to>
      <xdr:col>75</xdr:col>
      <xdr:colOff>21681</xdr:colOff>
      <xdr:row>46</xdr:row>
      <xdr:rowOff>133350</xdr:rowOff>
    </xdr:to>
    <xdr:sp macro="" textlink="">
      <xdr:nvSpPr>
        <xdr:cNvPr id="25098" name="43">
          <a:extLst>
            <a:ext uri="{FF2B5EF4-FFF2-40B4-BE49-F238E27FC236}">
              <a16:creationId xmlns:a16="http://schemas.microsoft.com/office/drawing/2014/main" id="{4FBF2B05-F763-4196-B7ED-EAD472D99B63}"/>
            </a:ext>
          </a:extLst>
        </xdr:cNvPr>
        <xdr:cNvSpPr/>
      </xdr:nvSpPr>
      <xdr:spPr>
        <a:xfrm>
          <a:off x="15227754" y="7172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46</xdr:row>
      <xdr:rowOff>76200</xdr:rowOff>
    </xdr:from>
    <xdr:to>
      <xdr:col>70</xdr:col>
      <xdr:colOff>102054</xdr:colOff>
      <xdr:row>46</xdr:row>
      <xdr:rowOff>76200</xdr:rowOff>
    </xdr:to>
    <xdr:cxnSp macro="">
      <xdr:nvCxnSpPr>
        <xdr:cNvPr id="25099" name="직선 화살표 연결선 25098">
          <a:extLst>
            <a:ext uri="{FF2B5EF4-FFF2-40B4-BE49-F238E27FC236}">
              <a16:creationId xmlns:a16="http://schemas.microsoft.com/office/drawing/2014/main" id="{20D4CD66-83A8-43D2-ABE8-EFC7584E7F20}"/>
            </a:ext>
          </a:extLst>
        </xdr:cNvPr>
        <xdr:cNvCxnSpPr/>
      </xdr:nvCxnSpPr>
      <xdr:spPr>
        <a:xfrm>
          <a:off x="15227754" y="722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45</xdr:row>
      <xdr:rowOff>19050</xdr:rowOff>
    </xdr:from>
    <xdr:to>
      <xdr:col>75</xdr:col>
      <xdr:colOff>21681</xdr:colOff>
      <xdr:row>45</xdr:row>
      <xdr:rowOff>133350</xdr:rowOff>
    </xdr:to>
    <xdr:sp macro="" textlink="">
      <xdr:nvSpPr>
        <xdr:cNvPr id="25100" name="42">
          <a:extLst>
            <a:ext uri="{FF2B5EF4-FFF2-40B4-BE49-F238E27FC236}">
              <a16:creationId xmlns:a16="http://schemas.microsoft.com/office/drawing/2014/main" id="{9FFDC7E4-5254-45BE-9068-EFDF21CE80FF}"/>
            </a:ext>
          </a:extLst>
        </xdr:cNvPr>
        <xdr:cNvSpPr/>
      </xdr:nvSpPr>
      <xdr:spPr>
        <a:xfrm>
          <a:off x="15227754" y="70199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45</xdr:row>
      <xdr:rowOff>76200</xdr:rowOff>
    </xdr:from>
    <xdr:to>
      <xdr:col>70</xdr:col>
      <xdr:colOff>102054</xdr:colOff>
      <xdr:row>45</xdr:row>
      <xdr:rowOff>76200</xdr:rowOff>
    </xdr:to>
    <xdr:cxnSp macro="">
      <xdr:nvCxnSpPr>
        <xdr:cNvPr id="25101" name="직선 화살표 연결선 25100">
          <a:extLst>
            <a:ext uri="{FF2B5EF4-FFF2-40B4-BE49-F238E27FC236}">
              <a16:creationId xmlns:a16="http://schemas.microsoft.com/office/drawing/2014/main" id="{12E619C3-AC9B-452D-9A9F-0FFA3DD99522}"/>
            </a:ext>
          </a:extLst>
        </xdr:cNvPr>
        <xdr:cNvCxnSpPr/>
      </xdr:nvCxnSpPr>
      <xdr:spPr>
        <a:xfrm>
          <a:off x="15227754"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61232</xdr:colOff>
      <xdr:row>44</xdr:row>
      <xdr:rowOff>19050</xdr:rowOff>
    </xdr:from>
    <xdr:to>
      <xdr:col>70</xdr:col>
      <xdr:colOff>103324</xdr:colOff>
      <xdr:row>44</xdr:row>
      <xdr:rowOff>133350</xdr:rowOff>
    </xdr:to>
    <xdr:sp macro="" textlink="">
      <xdr:nvSpPr>
        <xdr:cNvPr id="25102" name="41">
          <a:extLst>
            <a:ext uri="{FF2B5EF4-FFF2-40B4-BE49-F238E27FC236}">
              <a16:creationId xmlns:a16="http://schemas.microsoft.com/office/drawing/2014/main" id="{77799AC7-DC93-48FF-8D3B-7E1F2051D8D8}"/>
            </a:ext>
          </a:extLst>
        </xdr:cNvPr>
        <xdr:cNvSpPr/>
      </xdr:nvSpPr>
      <xdr:spPr>
        <a:xfrm>
          <a:off x="14615432" y="6867525"/>
          <a:ext cx="6135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61232</xdr:colOff>
      <xdr:row>44</xdr:row>
      <xdr:rowOff>76200</xdr:rowOff>
    </xdr:from>
    <xdr:to>
      <xdr:col>66</xdr:col>
      <xdr:colOff>61232</xdr:colOff>
      <xdr:row>44</xdr:row>
      <xdr:rowOff>76200</xdr:rowOff>
    </xdr:to>
    <xdr:cxnSp macro="">
      <xdr:nvCxnSpPr>
        <xdr:cNvPr id="25103" name="직선 화살표 연결선 25102">
          <a:extLst>
            <a:ext uri="{FF2B5EF4-FFF2-40B4-BE49-F238E27FC236}">
              <a16:creationId xmlns:a16="http://schemas.microsoft.com/office/drawing/2014/main" id="{A6761C3E-BE29-4468-8212-76ECCF813C2F}"/>
            </a:ext>
          </a:extLst>
        </xdr:cNvPr>
        <xdr:cNvCxnSpPr/>
      </xdr:nvCxnSpPr>
      <xdr:spPr>
        <a:xfrm>
          <a:off x="14615432"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61232</xdr:colOff>
      <xdr:row>43</xdr:row>
      <xdr:rowOff>19050</xdr:rowOff>
    </xdr:from>
    <xdr:to>
      <xdr:col>70</xdr:col>
      <xdr:colOff>103324</xdr:colOff>
      <xdr:row>43</xdr:row>
      <xdr:rowOff>133350</xdr:rowOff>
    </xdr:to>
    <xdr:sp macro="" textlink="">
      <xdr:nvSpPr>
        <xdr:cNvPr id="25104" name="40">
          <a:extLst>
            <a:ext uri="{FF2B5EF4-FFF2-40B4-BE49-F238E27FC236}">
              <a16:creationId xmlns:a16="http://schemas.microsoft.com/office/drawing/2014/main" id="{BA1BA231-FD6A-4984-997E-DCA95DC67BF8}"/>
            </a:ext>
          </a:extLst>
        </xdr:cNvPr>
        <xdr:cNvSpPr/>
      </xdr:nvSpPr>
      <xdr:spPr>
        <a:xfrm>
          <a:off x="14615432" y="6715125"/>
          <a:ext cx="6135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61232</xdr:colOff>
      <xdr:row>43</xdr:row>
      <xdr:rowOff>76200</xdr:rowOff>
    </xdr:from>
    <xdr:to>
      <xdr:col>66</xdr:col>
      <xdr:colOff>61232</xdr:colOff>
      <xdr:row>43</xdr:row>
      <xdr:rowOff>76200</xdr:rowOff>
    </xdr:to>
    <xdr:cxnSp macro="">
      <xdr:nvCxnSpPr>
        <xdr:cNvPr id="25105" name="직선 화살표 연결선 25104">
          <a:extLst>
            <a:ext uri="{FF2B5EF4-FFF2-40B4-BE49-F238E27FC236}">
              <a16:creationId xmlns:a16="http://schemas.microsoft.com/office/drawing/2014/main" id="{899C199D-90AB-4268-BFA3-E171B8B1F9CC}"/>
            </a:ext>
          </a:extLst>
        </xdr:cNvPr>
        <xdr:cNvCxnSpPr/>
      </xdr:nvCxnSpPr>
      <xdr:spPr>
        <a:xfrm>
          <a:off x="14615432"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42</xdr:row>
      <xdr:rowOff>19050</xdr:rowOff>
    </xdr:from>
    <xdr:to>
      <xdr:col>66</xdr:col>
      <xdr:colOff>62502</xdr:colOff>
      <xdr:row>42</xdr:row>
      <xdr:rowOff>133350</xdr:rowOff>
    </xdr:to>
    <xdr:sp macro="" textlink="">
      <xdr:nvSpPr>
        <xdr:cNvPr id="25106" name="39">
          <a:extLst>
            <a:ext uri="{FF2B5EF4-FFF2-40B4-BE49-F238E27FC236}">
              <a16:creationId xmlns:a16="http://schemas.microsoft.com/office/drawing/2014/main" id="{B46978C0-EEBA-41BD-8461-2300D4937728}"/>
            </a:ext>
          </a:extLst>
        </xdr:cNvPr>
        <xdr:cNvSpPr/>
      </xdr:nvSpPr>
      <xdr:spPr>
        <a:xfrm>
          <a:off x="13982700" y="6562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42</xdr:row>
      <xdr:rowOff>76200</xdr:rowOff>
    </xdr:from>
    <xdr:to>
      <xdr:col>62</xdr:col>
      <xdr:colOff>0</xdr:colOff>
      <xdr:row>42</xdr:row>
      <xdr:rowOff>76200</xdr:rowOff>
    </xdr:to>
    <xdr:cxnSp macro="">
      <xdr:nvCxnSpPr>
        <xdr:cNvPr id="25107" name="직선 화살표 연결선 25106">
          <a:extLst>
            <a:ext uri="{FF2B5EF4-FFF2-40B4-BE49-F238E27FC236}">
              <a16:creationId xmlns:a16="http://schemas.microsoft.com/office/drawing/2014/main" id="{81C406DE-D3E5-40AA-A009-57FFE2F2FFD8}"/>
            </a:ext>
          </a:extLst>
        </xdr:cNvPr>
        <xdr:cNvCxnSpPr/>
      </xdr:nvCxnSpPr>
      <xdr:spPr>
        <a:xfrm>
          <a:off x="13982700"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41</xdr:row>
      <xdr:rowOff>19050</xdr:rowOff>
    </xdr:from>
    <xdr:to>
      <xdr:col>66</xdr:col>
      <xdr:colOff>62502</xdr:colOff>
      <xdr:row>41</xdr:row>
      <xdr:rowOff>133350</xdr:rowOff>
    </xdr:to>
    <xdr:sp macro="" textlink="">
      <xdr:nvSpPr>
        <xdr:cNvPr id="25108" name="38">
          <a:extLst>
            <a:ext uri="{FF2B5EF4-FFF2-40B4-BE49-F238E27FC236}">
              <a16:creationId xmlns:a16="http://schemas.microsoft.com/office/drawing/2014/main" id="{48425939-7BE7-4A67-AC15-149771100CF4}"/>
            </a:ext>
          </a:extLst>
        </xdr:cNvPr>
        <xdr:cNvSpPr/>
      </xdr:nvSpPr>
      <xdr:spPr>
        <a:xfrm>
          <a:off x="13982700" y="64103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41</xdr:row>
      <xdr:rowOff>76200</xdr:rowOff>
    </xdr:from>
    <xdr:to>
      <xdr:col>62</xdr:col>
      <xdr:colOff>0</xdr:colOff>
      <xdr:row>41</xdr:row>
      <xdr:rowOff>76200</xdr:rowOff>
    </xdr:to>
    <xdr:cxnSp macro="">
      <xdr:nvCxnSpPr>
        <xdr:cNvPr id="25109" name="직선 화살표 연결선 25108">
          <a:extLst>
            <a:ext uri="{FF2B5EF4-FFF2-40B4-BE49-F238E27FC236}">
              <a16:creationId xmlns:a16="http://schemas.microsoft.com/office/drawing/2014/main" id="{CA107B57-33E2-4993-92EC-73C069F6F678}"/>
            </a:ext>
          </a:extLst>
        </xdr:cNvPr>
        <xdr:cNvCxnSpPr/>
      </xdr:nvCxnSpPr>
      <xdr:spPr>
        <a:xfrm>
          <a:off x="13982700"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40</xdr:row>
      <xdr:rowOff>19050</xdr:rowOff>
    </xdr:from>
    <xdr:to>
      <xdr:col>75</xdr:col>
      <xdr:colOff>21681</xdr:colOff>
      <xdr:row>40</xdr:row>
      <xdr:rowOff>133350</xdr:rowOff>
    </xdr:to>
    <xdr:sp macro="" textlink="">
      <xdr:nvSpPr>
        <xdr:cNvPr id="25110" name="37">
          <a:extLst>
            <a:ext uri="{FF2B5EF4-FFF2-40B4-BE49-F238E27FC236}">
              <a16:creationId xmlns:a16="http://schemas.microsoft.com/office/drawing/2014/main" id="{3DA82641-0B2B-422D-B902-43C2D0D50AEE}"/>
            </a:ext>
          </a:extLst>
        </xdr:cNvPr>
        <xdr:cNvSpPr/>
      </xdr:nvSpPr>
      <xdr:spPr>
        <a:xfrm>
          <a:off x="13982700" y="6257925"/>
          <a:ext cx="1879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40</xdr:row>
      <xdr:rowOff>76200</xdr:rowOff>
    </xdr:from>
    <xdr:to>
      <xdr:col>62</xdr:col>
      <xdr:colOff>0</xdr:colOff>
      <xdr:row>40</xdr:row>
      <xdr:rowOff>76200</xdr:rowOff>
    </xdr:to>
    <xdr:cxnSp macro="">
      <xdr:nvCxnSpPr>
        <xdr:cNvPr id="25111" name="직선 화살표 연결선 25110">
          <a:extLst>
            <a:ext uri="{FF2B5EF4-FFF2-40B4-BE49-F238E27FC236}">
              <a16:creationId xmlns:a16="http://schemas.microsoft.com/office/drawing/2014/main" id="{3FE48DF2-394C-4825-8800-240251655557}"/>
            </a:ext>
          </a:extLst>
        </xdr:cNvPr>
        <xdr:cNvCxnSpPr/>
      </xdr:nvCxnSpPr>
      <xdr:spPr>
        <a:xfrm>
          <a:off x="13982700"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39</xdr:row>
      <xdr:rowOff>19050</xdr:rowOff>
    </xdr:from>
    <xdr:to>
      <xdr:col>66</xdr:col>
      <xdr:colOff>62502</xdr:colOff>
      <xdr:row>39</xdr:row>
      <xdr:rowOff>133350</xdr:rowOff>
    </xdr:to>
    <xdr:sp macro="" textlink="">
      <xdr:nvSpPr>
        <xdr:cNvPr id="25112" name="36">
          <a:extLst>
            <a:ext uri="{FF2B5EF4-FFF2-40B4-BE49-F238E27FC236}">
              <a16:creationId xmlns:a16="http://schemas.microsoft.com/office/drawing/2014/main" id="{6C703EC2-36B0-4E5A-9646-763D24D4A5A0}"/>
            </a:ext>
          </a:extLst>
        </xdr:cNvPr>
        <xdr:cNvSpPr/>
      </xdr:nvSpPr>
      <xdr:spPr>
        <a:xfrm>
          <a:off x="13982700" y="61055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39</xdr:row>
      <xdr:rowOff>76200</xdr:rowOff>
    </xdr:from>
    <xdr:to>
      <xdr:col>62</xdr:col>
      <xdr:colOff>0</xdr:colOff>
      <xdr:row>39</xdr:row>
      <xdr:rowOff>76200</xdr:rowOff>
    </xdr:to>
    <xdr:cxnSp macro="">
      <xdr:nvCxnSpPr>
        <xdr:cNvPr id="25113" name="직선 화살표 연결선 25112">
          <a:extLst>
            <a:ext uri="{FF2B5EF4-FFF2-40B4-BE49-F238E27FC236}">
              <a16:creationId xmlns:a16="http://schemas.microsoft.com/office/drawing/2014/main" id="{D2AA0EC7-7601-4856-9A7F-728674247BEC}"/>
            </a:ext>
          </a:extLst>
        </xdr:cNvPr>
        <xdr:cNvCxnSpPr/>
      </xdr:nvCxnSpPr>
      <xdr:spPr>
        <a:xfrm>
          <a:off x="13982700"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38</xdr:row>
      <xdr:rowOff>19050</xdr:rowOff>
    </xdr:from>
    <xdr:to>
      <xdr:col>66</xdr:col>
      <xdr:colOff>62502</xdr:colOff>
      <xdr:row>38</xdr:row>
      <xdr:rowOff>133350</xdr:rowOff>
    </xdr:to>
    <xdr:sp macro="" textlink="">
      <xdr:nvSpPr>
        <xdr:cNvPr id="25114" name="35">
          <a:extLst>
            <a:ext uri="{FF2B5EF4-FFF2-40B4-BE49-F238E27FC236}">
              <a16:creationId xmlns:a16="http://schemas.microsoft.com/office/drawing/2014/main" id="{DFF663B9-B707-494F-ACB6-3C66C909A585}"/>
            </a:ext>
          </a:extLst>
        </xdr:cNvPr>
        <xdr:cNvSpPr/>
      </xdr:nvSpPr>
      <xdr:spPr>
        <a:xfrm>
          <a:off x="13982700" y="59531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38</xdr:row>
      <xdr:rowOff>76200</xdr:rowOff>
    </xdr:from>
    <xdr:to>
      <xdr:col>62</xdr:col>
      <xdr:colOff>0</xdr:colOff>
      <xdr:row>38</xdr:row>
      <xdr:rowOff>76200</xdr:rowOff>
    </xdr:to>
    <xdr:cxnSp macro="">
      <xdr:nvCxnSpPr>
        <xdr:cNvPr id="25115" name="직선 화살표 연결선 25114">
          <a:extLst>
            <a:ext uri="{FF2B5EF4-FFF2-40B4-BE49-F238E27FC236}">
              <a16:creationId xmlns:a16="http://schemas.microsoft.com/office/drawing/2014/main" id="{C1A39B08-6F83-4575-B82B-44895E440A2B}"/>
            </a:ext>
          </a:extLst>
        </xdr:cNvPr>
        <xdr:cNvCxnSpPr/>
      </xdr:nvCxnSpPr>
      <xdr:spPr>
        <a:xfrm>
          <a:off x="13982700" y="601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37</xdr:row>
      <xdr:rowOff>19050</xdr:rowOff>
    </xdr:from>
    <xdr:to>
      <xdr:col>62</xdr:col>
      <xdr:colOff>1270</xdr:colOff>
      <xdr:row>37</xdr:row>
      <xdr:rowOff>133350</xdr:rowOff>
    </xdr:to>
    <xdr:sp macro="" textlink="">
      <xdr:nvSpPr>
        <xdr:cNvPr id="25116" name="34">
          <a:extLst>
            <a:ext uri="{FF2B5EF4-FFF2-40B4-BE49-F238E27FC236}">
              <a16:creationId xmlns:a16="http://schemas.microsoft.com/office/drawing/2014/main" id="{DD7AC913-E513-4FA4-9D69-185A4799EC6D}"/>
            </a:ext>
          </a:extLst>
        </xdr:cNvPr>
        <xdr:cNvSpPr/>
      </xdr:nvSpPr>
      <xdr:spPr>
        <a:xfrm>
          <a:off x="13349968" y="5800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37</xdr:row>
      <xdr:rowOff>76200</xdr:rowOff>
    </xdr:from>
    <xdr:to>
      <xdr:col>57</xdr:col>
      <xdr:colOff>81643</xdr:colOff>
      <xdr:row>37</xdr:row>
      <xdr:rowOff>76200</xdr:rowOff>
    </xdr:to>
    <xdr:cxnSp macro="">
      <xdr:nvCxnSpPr>
        <xdr:cNvPr id="25117" name="직선 화살표 연결선 25116">
          <a:extLst>
            <a:ext uri="{FF2B5EF4-FFF2-40B4-BE49-F238E27FC236}">
              <a16:creationId xmlns:a16="http://schemas.microsoft.com/office/drawing/2014/main" id="{ACB01839-1A04-462E-8F6C-994807A8088C}"/>
            </a:ext>
          </a:extLst>
        </xdr:cNvPr>
        <xdr:cNvCxnSpPr/>
      </xdr:nvCxnSpPr>
      <xdr:spPr>
        <a:xfrm>
          <a:off x="13349968" y="585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36</xdr:row>
      <xdr:rowOff>19050</xdr:rowOff>
    </xdr:from>
    <xdr:to>
      <xdr:col>62</xdr:col>
      <xdr:colOff>1270</xdr:colOff>
      <xdr:row>36</xdr:row>
      <xdr:rowOff>133350</xdr:rowOff>
    </xdr:to>
    <xdr:sp macro="" textlink="">
      <xdr:nvSpPr>
        <xdr:cNvPr id="25118" name="33">
          <a:extLst>
            <a:ext uri="{FF2B5EF4-FFF2-40B4-BE49-F238E27FC236}">
              <a16:creationId xmlns:a16="http://schemas.microsoft.com/office/drawing/2014/main" id="{3812F8DF-BA04-4C61-92EF-1A1AD239A41D}"/>
            </a:ext>
          </a:extLst>
        </xdr:cNvPr>
        <xdr:cNvSpPr/>
      </xdr:nvSpPr>
      <xdr:spPr>
        <a:xfrm>
          <a:off x="13349968" y="56483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36</xdr:row>
      <xdr:rowOff>76200</xdr:rowOff>
    </xdr:from>
    <xdr:to>
      <xdr:col>57</xdr:col>
      <xdr:colOff>81643</xdr:colOff>
      <xdr:row>36</xdr:row>
      <xdr:rowOff>76200</xdr:rowOff>
    </xdr:to>
    <xdr:cxnSp macro="">
      <xdr:nvCxnSpPr>
        <xdr:cNvPr id="25119" name="직선 화살표 연결선 25118">
          <a:extLst>
            <a:ext uri="{FF2B5EF4-FFF2-40B4-BE49-F238E27FC236}">
              <a16:creationId xmlns:a16="http://schemas.microsoft.com/office/drawing/2014/main" id="{AAA75A37-62D1-4F51-8FB0-CBAA0F2732E8}"/>
            </a:ext>
          </a:extLst>
        </xdr:cNvPr>
        <xdr:cNvCxnSpPr/>
      </xdr:nvCxnSpPr>
      <xdr:spPr>
        <a:xfrm>
          <a:off x="13349968" y="570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35</xdr:row>
      <xdr:rowOff>19050</xdr:rowOff>
    </xdr:from>
    <xdr:to>
      <xdr:col>62</xdr:col>
      <xdr:colOff>1270</xdr:colOff>
      <xdr:row>35</xdr:row>
      <xdr:rowOff>133350</xdr:rowOff>
    </xdr:to>
    <xdr:sp macro="" textlink="">
      <xdr:nvSpPr>
        <xdr:cNvPr id="25120" name="32">
          <a:extLst>
            <a:ext uri="{FF2B5EF4-FFF2-40B4-BE49-F238E27FC236}">
              <a16:creationId xmlns:a16="http://schemas.microsoft.com/office/drawing/2014/main" id="{0C27B82A-E33D-4642-91BC-F12FE776A036}"/>
            </a:ext>
          </a:extLst>
        </xdr:cNvPr>
        <xdr:cNvSpPr/>
      </xdr:nvSpPr>
      <xdr:spPr>
        <a:xfrm>
          <a:off x="13349968" y="54959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35</xdr:row>
      <xdr:rowOff>76200</xdr:rowOff>
    </xdr:from>
    <xdr:to>
      <xdr:col>57</xdr:col>
      <xdr:colOff>81643</xdr:colOff>
      <xdr:row>35</xdr:row>
      <xdr:rowOff>76200</xdr:rowOff>
    </xdr:to>
    <xdr:cxnSp macro="">
      <xdr:nvCxnSpPr>
        <xdr:cNvPr id="25121" name="직선 화살표 연결선 25120">
          <a:extLst>
            <a:ext uri="{FF2B5EF4-FFF2-40B4-BE49-F238E27FC236}">
              <a16:creationId xmlns:a16="http://schemas.microsoft.com/office/drawing/2014/main" id="{B7A2BFAA-EFC0-4C77-8977-849E70A43677}"/>
            </a:ext>
          </a:extLst>
        </xdr:cNvPr>
        <xdr:cNvCxnSpPr/>
      </xdr:nvCxnSpPr>
      <xdr:spPr>
        <a:xfrm>
          <a:off x="13349968" y="555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34</xdr:row>
      <xdr:rowOff>19050</xdr:rowOff>
    </xdr:from>
    <xdr:to>
      <xdr:col>57</xdr:col>
      <xdr:colOff>82913</xdr:colOff>
      <xdr:row>34</xdr:row>
      <xdr:rowOff>133350</xdr:rowOff>
    </xdr:to>
    <xdr:sp macro="" textlink="">
      <xdr:nvSpPr>
        <xdr:cNvPr id="25122" name="31">
          <a:extLst>
            <a:ext uri="{FF2B5EF4-FFF2-40B4-BE49-F238E27FC236}">
              <a16:creationId xmlns:a16="http://schemas.microsoft.com/office/drawing/2014/main" id="{D02CF364-1E4E-4B55-B201-E259A4044E9C}"/>
            </a:ext>
          </a:extLst>
        </xdr:cNvPr>
        <xdr:cNvSpPr/>
      </xdr:nvSpPr>
      <xdr:spPr>
        <a:xfrm>
          <a:off x="12737647" y="53435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34</xdr:row>
      <xdr:rowOff>76200</xdr:rowOff>
    </xdr:from>
    <xdr:to>
      <xdr:col>53</xdr:col>
      <xdr:colOff>40822</xdr:colOff>
      <xdr:row>34</xdr:row>
      <xdr:rowOff>76200</xdr:rowOff>
    </xdr:to>
    <xdr:cxnSp macro="">
      <xdr:nvCxnSpPr>
        <xdr:cNvPr id="25123" name="직선 화살표 연결선 25122">
          <a:extLst>
            <a:ext uri="{FF2B5EF4-FFF2-40B4-BE49-F238E27FC236}">
              <a16:creationId xmlns:a16="http://schemas.microsoft.com/office/drawing/2014/main" id="{D9F49319-3128-4EA3-82D2-194B6F364AB8}"/>
            </a:ext>
          </a:extLst>
        </xdr:cNvPr>
        <xdr:cNvCxnSpPr/>
      </xdr:nvCxnSpPr>
      <xdr:spPr>
        <a:xfrm>
          <a:off x="12737647"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33</xdr:row>
      <xdr:rowOff>19050</xdr:rowOff>
    </xdr:from>
    <xdr:to>
      <xdr:col>57</xdr:col>
      <xdr:colOff>82913</xdr:colOff>
      <xdr:row>33</xdr:row>
      <xdr:rowOff>133350</xdr:rowOff>
    </xdr:to>
    <xdr:sp macro="" textlink="">
      <xdr:nvSpPr>
        <xdr:cNvPr id="25124" name="30">
          <a:extLst>
            <a:ext uri="{FF2B5EF4-FFF2-40B4-BE49-F238E27FC236}">
              <a16:creationId xmlns:a16="http://schemas.microsoft.com/office/drawing/2014/main" id="{506DDF0B-F54A-44E5-A575-0082F4467286}"/>
            </a:ext>
          </a:extLst>
        </xdr:cNvPr>
        <xdr:cNvSpPr/>
      </xdr:nvSpPr>
      <xdr:spPr>
        <a:xfrm>
          <a:off x="12737647" y="5191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33</xdr:row>
      <xdr:rowOff>76200</xdr:rowOff>
    </xdr:from>
    <xdr:to>
      <xdr:col>53</xdr:col>
      <xdr:colOff>40822</xdr:colOff>
      <xdr:row>33</xdr:row>
      <xdr:rowOff>76200</xdr:rowOff>
    </xdr:to>
    <xdr:cxnSp macro="">
      <xdr:nvCxnSpPr>
        <xdr:cNvPr id="25125" name="직선 화살표 연결선 25124">
          <a:extLst>
            <a:ext uri="{FF2B5EF4-FFF2-40B4-BE49-F238E27FC236}">
              <a16:creationId xmlns:a16="http://schemas.microsoft.com/office/drawing/2014/main" id="{7060BB41-715A-4B19-BF00-41F23A3AF493}"/>
            </a:ext>
          </a:extLst>
        </xdr:cNvPr>
        <xdr:cNvCxnSpPr/>
      </xdr:nvCxnSpPr>
      <xdr:spPr>
        <a:xfrm>
          <a:off x="12737647"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40822</xdr:colOff>
      <xdr:row>32</xdr:row>
      <xdr:rowOff>19050</xdr:rowOff>
    </xdr:from>
    <xdr:to>
      <xdr:col>66</xdr:col>
      <xdr:colOff>62502</xdr:colOff>
      <xdr:row>32</xdr:row>
      <xdr:rowOff>133350</xdr:rowOff>
    </xdr:to>
    <xdr:sp macro="" textlink="">
      <xdr:nvSpPr>
        <xdr:cNvPr id="25126" name="29">
          <a:extLst>
            <a:ext uri="{FF2B5EF4-FFF2-40B4-BE49-F238E27FC236}">
              <a16:creationId xmlns:a16="http://schemas.microsoft.com/office/drawing/2014/main" id="{0E0601E7-360A-440D-8603-3EA76FCB9F35}"/>
            </a:ext>
          </a:extLst>
        </xdr:cNvPr>
        <xdr:cNvSpPr/>
      </xdr:nvSpPr>
      <xdr:spPr>
        <a:xfrm>
          <a:off x="12737647" y="5038725"/>
          <a:ext cx="18790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40822</xdr:colOff>
      <xdr:row>32</xdr:row>
      <xdr:rowOff>76200</xdr:rowOff>
    </xdr:from>
    <xdr:to>
      <xdr:col>53</xdr:col>
      <xdr:colOff>40822</xdr:colOff>
      <xdr:row>32</xdr:row>
      <xdr:rowOff>76200</xdr:rowOff>
    </xdr:to>
    <xdr:cxnSp macro="">
      <xdr:nvCxnSpPr>
        <xdr:cNvPr id="25127" name="직선 화살표 연결선 25126">
          <a:extLst>
            <a:ext uri="{FF2B5EF4-FFF2-40B4-BE49-F238E27FC236}">
              <a16:creationId xmlns:a16="http://schemas.microsoft.com/office/drawing/2014/main" id="{40C31737-57E2-46DF-B53B-8516C015D78B}"/>
            </a:ext>
          </a:extLst>
        </xdr:cNvPr>
        <xdr:cNvCxnSpPr/>
      </xdr:nvCxnSpPr>
      <xdr:spPr>
        <a:xfrm>
          <a:off x="12737647"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31</xdr:row>
      <xdr:rowOff>19050</xdr:rowOff>
    </xdr:from>
    <xdr:to>
      <xdr:col>83</xdr:col>
      <xdr:colOff>123734</xdr:colOff>
      <xdr:row>31</xdr:row>
      <xdr:rowOff>133350</xdr:rowOff>
    </xdr:to>
    <xdr:sp macro="" textlink="">
      <xdr:nvSpPr>
        <xdr:cNvPr id="25128" name="28">
          <a:extLst>
            <a:ext uri="{FF2B5EF4-FFF2-40B4-BE49-F238E27FC236}">
              <a16:creationId xmlns:a16="http://schemas.microsoft.com/office/drawing/2014/main" id="{63FEB5D6-4791-4D2B-A76F-554DEDC18FFB}"/>
            </a:ext>
          </a:extLst>
        </xdr:cNvPr>
        <xdr:cNvSpPr/>
      </xdr:nvSpPr>
      <xdr:spPr>
        <a:xfrm>
          <a:off x="15860486" y="4886325"/>
          <a:ext cx="1246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31</xdr:row>
      <xdr:rowOff>76200</xdr:rowOff>
    </xdr:from>
    <xdr:to>
      <xdr:col>75</xdr:col>
      <xdr:colOff>20411</xdr:colOff>
      <xdr:row>31</xdr:row>
      <xdr:rowOff>76200</xdr:rowOff>
    </xdr:to>
    <xdr:cxnSp macro="">
      <xdr:nvCxnSpPr>
        <xdr:cNvPr id="25129" name="직선 화살표 연결선 25128">
          <a:extLst>
            <a:ext uri="{FF2B5EF4-FFF2-40B4-BE49-F238E27FC236}">
              <a16:creationId xmlns:a16="http://schemas.microsoft.com/office/drawing/2014/main" id="{E5524802-6863-43ED-805E-EA765275C86C}"/>
            </a:ext>
          </a:extLst>
        </xdr:cNvPr>
        <xdr:cNvCxnSpPr/>
      </xdr:nvCxnSpPr>
      <xdr:spPr>
        <a:xfrm>
          <a:off x="15860486"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30</xdr:row>
      <xdr:rowOff>19050</xdr:rowOff>
    </xdr:from>
    <xdr:to>
      <xdr:col>79</xdr:col>
      <xdr:colOff>62502</xdr:colOff>
      <xdr:row>30</xdr:row>
      <xdr:rowOff>133350</xdr:rowOff>
    </xdr:to>
    <xdr:sp macro="" textlink="">
      <xdr:nvSpPr>
        <xdr:cNvPr id="25130" name="27">
          <a:extLst>
            <a:ext uri="{FF2B5EF4-FFF2-40B4-BE49-F238E27FC236}">
              <a16:creationId xmlns:a16="http://schemas.microsoft.com/office/drawing/2014/main" id="{E68358A4-3864-440E-8BE1-8767D8A934AE}"/>
            </a:ext>
          </a:extLst>
        </xdr:cNvPr>
        <xdr:cNvSpPr/>
      </xdr:nvSpPr>
      <xdr:spPr>
        <a:xfrm>
          <a:off x="13982700" y="4733925"/>
          <a:ext cx="2491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30</xdr:row>
      <xdr:rowOff>76200</xdr:rowOff>
    </xdr:from>
    <xdr:to>
      <xdr:col>62</xdr:col>
      <xdr:colOff>0</xdr:colOff>
      <xdr:row>30</xdr:row>
      <xdr:rowOff>76200</xdr:rowOff>
    </xdr:to>
    <xdr:cxnSp macro="">
      <xdr:nvCxnSpPr>
        <xdr:cNvPr id="25131" name="직선 화살표 연결선 25130">
          <a:extLst>
            <a:ext uri="{FF2B5EF4-FFF2-40B4-BE49-F238E27FC236}">
              <a16:creationId xmlns:a16="http://schemas.microsoft.com/office/drawing/2014/main" id="{DF4088C0-B479-457F-8BAC-F5DD6F27EA3F}"/>
            </a:ext>
          </a:extLst>
        </xdr:cNvPr>
        <xdr:cNvCxnSpPr/>
      </xdr:nvCxnSpPr>
      <xdr:spPr>
        <a:xfrm>
          <a:off x="13982700"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62</xdr:col>
      <xdr:colOff>0</xdr:colOff>
      <xdr:row>29</xdr:row>
      <xdr:rowOff>19050</xdr:rowOff>
    </xdr:from>
    <xdr:to>
      <xdr:col>83</xdr:col>
      <xdr:colOff>123734</xdr:colOff>
      <xdr:row>29</xdr:row>
      <xdr:rowOff>133350</xdr:rowOff>
    </xdr:to>
    <xdr:sp macro="" textlink="">
      <xdr:nvSpPr>
        <xdr:cNvPr id="25132" name="0">
          <a:extLst>
            <a:ext uri="{FF2B5EF4-FFF2-40B4-BE49-F238E27FC236}">
              <a16:creationId xmlns:a16="http://schemas.microsoft.com/office/drawing/2014/main" id="{14BF63C3-AF01-421E-84E1-9197D55B4A24}"/>
            </a:ext>
          </a:extLst>
        </xdr:cNvPr>
        <xdr:cNvSpPr/>
      </xdr:nvSpPr>
      <xdr:spPr>
        <a:xfrm>
          <a:off x="13982700" y="4581525"/>
          <a:ext cx="3124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0</xdr:colOff>
      <xdr:row>29</xdr:row>
      <xdr:rowOff>76200</xdr:rowOff>
    </xdr:from>
    <xdr:to>
      <xdr:col>62</xdr:col>
      <xdr:colOff>0</xdr:colOff>
      <xdr:row>29</xdr:row>
      <xdr:rowOff>76200</xdr:rowOff>
    </xdr:to>
    <xdr:cxnSp macro="">
      <xdr:nvCxnSpPr>
        <xdr:cNvPr id="25133" name="직선 화살표 연결선 25132">
          <a:extLst>
            <a:ext uri="{FF2B5EF4-FFF2-40B4-BE49-F238E27FC236}">
              <a16:creationId xmlns:a16="http://schemas.microsoft.com/office/drawing/2014/main" id="{EFDF5948-2D9E-4F23-A9C2-EDD01B1E1C77}"/>
            </a:ext>
          </a:extLst>
        </xdr:cNvPr>
        <xdr:cNvCxnSpPr/>
      </xdr:nvCxnSpPr>
      <xdr:spPr>
        <a:xfrm>
          <a:off x="13982700"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28</xdr:row>
      <xdr:rowOff>19050</xdr:rowOff>
    </xdr:from>
    <xdr:to>
      <xdr:col>62</xdr:col>
      <xdr:colOff>1270</xdr:colOff>
      <xdr:row>28</xdr:row>
      <xdr:rowOff>133350</xdr:rowOff>
    </xdr:to>
    <xdr:sp macro="" textlink="">
      <xdr:nvSpPr>
        <xdr:cNvPr id="25134" name="25">
          <a:extLst>
            <a:ext uri="{FF2B5EF4-FFF2-40B4-BE49-F238E27FC236}">
              <a16:creationId xmlns:a16="http://schemas.microsoft.com/office/drawing/2014/main" id="{41639B0B-F2E4-4845-8707-BB6FD7E92435}"/>
            </a:ext>
          </a:extLst>
        </xdr:cNvPr>
        <xdr:cNvSpPr/>
      </xdr:nvSpPr>
      <xdr:spPr>
        <a:xfrm>
          <a:off x="13349968" y="44291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28</xdr:row>
      <xdr:rowOff>76200</xdr:rowOff>
    </xdr:from>
    <xdr:to>
      <xdr:col>57</xdr:col>
      <xdr:colOff>81643</xdr:colOff>
      <xdr:row>28</xdr:row>
      <xdr:rowOff>76200</xdr:rowOff>
    </xdr:to>
    <xdr:cxnSp macro="">
      <xdr:nvCxnSpPr>
        <xdr:cNvPr id="25135" name="직선 화살표 연결선 25134">
          <a:extLst>
            <a:ext uri="{FF2B5EF4-FFF2-40B4-BE49-F238E27FC236}">
              <a16:creationId xmlns:a16="http://schemas.microsoft.com/office/drawing/2014/main" id="{439B3185-CF28-4FC9-9BAD-93B06A6547B5}"/>
            </a:ext>
          </a:extLst>
        </xdr:cNvPr>
        <xdr:cNvCxnSpPr/>
      </xdr:nvCxnSpPr>
      <xdr:spPr>
        <a:xfrm>
          <a:off x="13349968"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81643</xdr:colOff>
      <xdr:row>27</xdr:row>
      <xdr:rowOff>19050</xdr:rowOff>
    </xdr:from>
    <xdr:to>
      <xdr:col>62</xdr:col>
      <xdr:colOff>1270</xdr:colOff>
      <xdr:row>27</xdr:row>
      <xdr:rowOff>133350</xdr:rowOff>
    </xdr:to>
    <xdr:sp macro="" textlink="">
      <xdr:nvSpPr>
        <xdr:cNvPr id="25136" name="24">
          <a:extLst>
            <a:ext uri="{FF2B5EF4-FFF2-40B4-BE49-F238E27FC236}">
              <a16:creationId xmlns:a16="http://schemas.microsoft.com/office/drawing/2014/main" id="{8F99D74D-DF68-4D68-B389-94FC8FA1B6D6}"/>
            </a:ext>
          </a:extLst>
        </xdr:cNvPr>
        <xdr:cNvSpPr/>
      </xdr:nvSpPr>
      <xdr:spPr>
        <a:xfrm>
          <a:off x="13349968" y="4276725"/>
          <a:ext cx="6340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57</xdr:col>
      <xdr:colOff>81643</xdr:colOff>
      <xdr:row>27</xdr:row>
      <xdr:rowOff>76200</xdr:rowOff>
    </xdr:from>
    <xdr:to>
      <xdr:col>57</xdr:col>
      <xdr:colOff>81643</xdr:colOff>
      <xdr:row>27</xdr:row>
      <xdr:rowOff>76200</xdr:rowOff>
    </xdr:to>
    <xdr:cxnSp macro="">
      <xdr:nvCxnSpPr>
        <xdr:cNvPr id="25137" name="직선 화살표 연결선 25136">
          <a:extLst>
            <a:ext uri="{FF2B5EF4-FFF2-40B4-BE49-F238E27FC236}">
              <a16:creationId xmlns:a16="http://schemas.microsoft.com/office/drawing/2014/main" id="{5398E1B6-46BD-4C75-8DCE-1ECA79F572CB}"/>
            </a:ext>
          </a:extLst>
        </xdr:cNvPr>
        <xdr:cNvCxnSpPr/>
      </xdr:nvCxnSpPr>
      <xdr:spPr>
        <a:xfrm>
          <a:off x="13349968"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26</xdr:row>
      <xdr:rowOff>19050</xdr:rowOff>
    </xdr:from>
    <xdr:to>
      <xdr:col>57</xdr:col>
      <xdr:colOff>82913</xdr:colOff>
      <xdr:row>26</xdr:row>
      <xdr:rowOff>133350</xdr:rowOff>
    </xdr:to>
    <xdr:sp macro="" textlink="">
      <xdr:nvSpPr>
        <xdr:cNvPr id="25138" name="23">
          <a:extLst>
            <a:ext uri="{FF2B5EF4-FFF2-40B4-BE49-F238E27FC236}">
              <a16:creationId xmlns:a16="http://schemas.microsoft.com/office/drawing/2014/main" id="{5F57F190-1828-4FB4-8193-C0FFD45B4117}"/>
            </a:ext>
          </a:extLst>
        </xdr:cNvPr>
        <xdr:cNvSpPr/>
      </xdr:nvSpPr>
      <xdr:spPr>
        <a:xfrm>
          <a:off x="11492593" y="4124325"/>
          <a:ext cx="18586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26</xdr:row>
      <xdr:rowOff>76200</xdr:rowOff>
    </xdr:from>
    <xdr:to>
      <xdr:col>44</xdr:col>
      <xdr:colOff>81643</xdr:colOff>
      <xdr:row>26</xdr:row>
      <xdr:rowOff>76200</xdr:rowOff>
    </xdr:to>
    <xdr:cxnSp macro="">
      <xdr:nvCxnSpPr>
        <xdr:cNvPr id="25139" name="직선 화살표 연결선 25138">
          <a:extLst>
            <a:ext uri="{FF2B5EF4-FFF2-40B4-BE49-F238E27FC236}">
              <a16:creationId xmlns:a16="http://schemas.microsoft.com/office/drawing/2014/main" id="{945CA6CD-2D91-4F44-A257-1DE4E9B21B46}"/>
            </a:ext>
          </a:extLst>
        </xdr:cNvPr>
        <xdr:cNvCxnSpPr/>
      </xdr:nvCxnSpPr>
      <xdr:spPr>
        <a:xfrm>
          <a:off x="11492593"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25</xdr:row>
      <xdr:rowOff>19050</xdr:rowOff>
    </xdr:from>
    <xdr:to>
      <xdr:col>57</xdr:col>
      <xdr:colOff>82913</xdr:colOff>
      <xdr:row>25</xdr:row>
      <xdr:rowOff>133350</xdr:rowOff>
    </xdr:to>
    <xdr:sp macro="" textlink="">
      <xdr:nvSpPr>
        <xdr:cNvPr id="13952" name="22">
          <a:extLst>
            <a:ext uri="{FF2B5EF4-FFF2-40B4-BE49-F238E27FC236}">
              <a16:creationId xmlns:a16="http://schemas.microsoft.com/office/drawing/2014/main" id="{3207B539-D83A-4600-95B5-B2E4764902CC}"/>
            </a:ext>
          </a:extLst>
        </xdr:cNvPr>
        <xdr:cNvSpPr/>
      </xdr:nvSpPr>
      <xdr:spPr>
        <a:xfrm>
          <a:off x="11492593" y="3971925"/>
          <a:ext cx="18586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25</xdr:row>
      <xdr:rowOff>76200</xdr:rowOff>
    </xdr:from>
    <xdr:to>
      <xdr:col>44</xdr:col>
      <xdr:colOff>81643</xdr:colOff>
      <xdr:row>25</xdr:row>
      <xdr:rowOff>76200</xdr:rowOff>
    </xdr:to>
    <xdr:cxnSp macro="">
      <xdr:nvCxnSpPr>
        <xdr:cNvPr id="13953" name="직선 화살표 연결선 13952">
          <a:extLst>
            <a:ext uri="{FF2B5EF4-FFF2-40B4-BE49-F238E27FC236}">
              <a16:creationId xmlns:a16="http://schemas.microsoft.com/office/drawing/2014/main" id="{57E5FF74-C364-48D1-9E8A-FF236DE9053C}"/>
            </a:ext>
          </a:extLst>
        </xdr:cNvPr>
        <xdr:cNvCxnSpPr/>
      </xdr:nvCxnSpPr>
      <xdr:spPr>
        <a:xfrm>
          <a:off x="11492593"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24</xdr:row>
      <xdr:rowOff>19050</xdr:rowOff>
    </xdr:from>
    <xdr:to>
      <xdr:col>57</xdr:col>
      <xdr:colOff>82913</xdr:colOff>
      <xdr:row>24</xdr:row>
      <xdr:rowOff>133350</xdr:rowOff>
    </xdr:to>
    <xdr:sp macro="" textlink="">
      <xdr:nvSpPr>
        <xdr:cNvPr id="13954" name="21">
          <a:extLst>
            <a:ext uri="{FF2B5EF4-FFF2-40B4-BE49-F238E27FC236}">
              <a16:creationId xmlns:a16="http://schemas.microsoft.com/office/drawing/2014/main" id="{3659E074-BA54-4BD5-9E28-9877F8BDB695}"/>
            </a:ext>
          </a:extLst>
        </xdr:cNvPr>
        <xdr:cNvSpPr/>
      </xdr:nvSpPr>
      <xdr:spPr>
        <a:xfrm>
          <a:off x="11492593" y="3819525"/>
          <a:ext cx="18586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24</xdr:row>
      <xdr:rowOff>76200</xdr:rowOff>
    </xdr:from>
    <xdr:to>
      <xdr:col>44</xdr:col>
      <xdr:colOff>81643</xdr:colOff>
      <xdr:row>24</xdr:row>
      <xdr:rowOff>76200</xdr:rowOff>
    </xdr:to>
    <xdr:cxnSp macro="">
      <xdr:nvCxnSpPr>
        <xdr:cNvPr id="13955" name="직선 화살표 연결선 13954">
          <a:extLst>
            <a:ext uri="{FF2B5EF4-FFF2-40B4-BE49-F238E27FC236}">
              <a16:creationId xmlns:a16="http://schemas.microsoft.com/office/drawing/2014/main" id="{128FBD19-AF9A-4A2A-91F7-BF7EB2CB7897}"/>
            </a:ext>
          </a:extLst>
        </xdr:cNvPr>
        <xdr:cNvCxnSpPr/>
      </xdr:nvCxnSpPr>
      <xdr:spPr>
        <a:xfrm>
          <a:off x="11492593"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23</xdr:row>
      <xdr:rowOff>19050</xdr:rowOff>
    </xdr:from>
    <xdr:to>
      <xdr:col>57</xdr:col>
      <xdr:colOff>82913</xdr:colOff>
      <xdr:row>23</xdr:row>
      <xdr:rowOff>133350</xdr:rowOff>
    </xdr:to>
    <xdr:sp macro="" textlink="">
      <xdr:nvSpPr>
        <xdr:cNvPr id="13956" name="20">
          <a:extLst>
            <a:ext uri="{FF2B5EF4-FFF2-40B4-BE49-F238E27FC236}">
              <a16:creationId xmlns:a16="http://schemas.microsoft.com/office/drawing/2014/main" id="{B7B9A315-254F-4196-A9A5-54E17C13E4C4}"/>
            </a:ext>
          </a:extLst>
        </xdr:cNvPr>
        <xdr:cNvSpPr/>
      </xdr:nvSpPr>
      <xdr:spPr>
        <a:xfrm>
          <a:off x="11492593" y="3667125"/>
          <a:ext cx="18586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23</xdr:row>
      <xdr:rowOff>76200</xdr:rowOff>
    </xdr:from>
    <xdr:to>
      <xdr:col>44</xdr:col>
      <xdr:colOff>81643</xdr:colOff>
      <xdr:row>23</xdr:row>
      <xdr:rowOff>76200</xdr:rowOff>
    </xdr:to>
    <xdr:cxnSp macro="">
      <xdr:nvCxnSpPr>
        <xdr:cNvPr id="13957" name="직선 화살표 연결선 13956">
          <a:extLst>
            <a:ext uri="{FF2B5EF4-FFF2-40B4-BE49-F238E27FC236}">
              <a16:creationId xmlns:a16="http://schemas.microsoft.com/office/drawing/2014/main" id="{E6BDB3B2-A7C9-4BDC-9717-2EF529479C19}"/>
            </a:ext>
          </a:extLst>
        </xdr:cNvPr>
        <xdr:cNvCxnSpPr/>
      </xdr:nvCxnSpPr>
      <xdr:spPr>
        <a:xfrm>
          <a:off x="11492593"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22</xdr:row>
      <xdr:rowOff>19050</xdr:rowOff>
    </xdr:from>
    <xdr:to>
      <xdr:col>44</xdr:col>
      <xdr:colOff>82913</xdr:colOff>
      <xdr:row>22</xdr:row>
      <xdr:rowOff>133350</xdr:rowOff>
    </xdr:to>
    <xdr:sp macro="" textlink="">
      <xdr:nvSpPr>
        <xdr:cNvPr id="13958" name="19">
          <a:extLst>
            <a:ext uri="{FF2B5EF4-FFF2-40B4-BE49-F238E27FC236}">
              <a16:creationId xmlns:a16="http://schemas.microsoft.com/office/drawing/2014/main" id="{606F9347-BB9F-4B73-B11D-2D6148C37CD4}"/>
            </a:ext>
          </a:extLst>
        </xdr:cNvPr>
        <xdr:cNvSpPr/>
      </xdr:nvSpPr>
      <xdr:spPr>
        <a:xfrm>
          <a:off x="10859860" y="35147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22</xdr:row>
      <xdr:rowOff>76200</xdr:rowOff>
    </xdr:from>
    <xdr:to>
      <xdr:col>40</xdr:col>
      <xdr:colOff>20410</xdr:colOff>
      <xdr:row>22</xdr:row>
      <xdr:rowOff>76200</xdr:rowOff>
    </xdr:to>
    <xdr:cxnSp macro="">
      <xdr:nvCxnSpPr>
        <xdr:cNvPr id="13959" name="직선 화살표 연결선 13958">
          <a:extLst>
            <a:ext uri="{FF2B5EF4-FFF2-40B4-BE49-F238E27FC236}">
              <a16:creationId xmlns:a16="http://schemas.microsoft.com/office/drawing/2014/main" id="{946DA4D4-87A4-47EE-9928-E7C1B52EABB5}"/>
            </a:ext>
          </a:extLst>
        </xdr:cNvPr>
        <xdr:cNvCxnSpPr/>
      </xdr:nvCxnSpPr>
      <xdr:spPr>
        <a:xfrm>
          <a:off x="10859860"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21</xdr:row>
      <xdr:rowOff>19050</xdr:rowOff>
    </xdr:from>
    <xdr:to>
      <xdr:col>44</xdr:col>
      <xdr:colOff>82913</xdr:colOff>
      <xdr:row>21</xdr:row>
      <xdr:rowOff>133350</xdr:rowOff>
    </xdr:to>
    <xdr:sp macro="" textlink="">
      <xdr:nvSpPr>
        <xdr:cNvPr id="13960" name="18">
          <a:extLst>
            <a:ext uri="{FF2B5EF4-FFF2-40B4-BE49-F238E27FC236}">
              <a16:creationId xmlns:a16="http://schemas.microsoft.com/office/drawing/2014/main" id="{BEFD9C43-3196-4983-B794-35652E6B4DC6}"/>
            </a:ext>
          </a:extLst>
        </xdr:cNvPr>
        <xdr:cNvSpPr/>
      </xdr:nvSpPr>
      <xdr:spPr>
        <a:xfrm>
          <a:off x="10859860" y="33623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21</xdr:row>
      <xdr:rowOff>76200</xdr:rowOff>
    </xdr:from>
    <xdr:to>
      <xdr:col>40</xdr:col>
      <xdr:colOff>20410</xdr:colOff>
      <xdr:row>21</xdr:row>
      <xdr:rowOff>76200</xdr:rowOff>
    </xdr:to>
    <xdr:cxnSp macro="">
      <xdr:nvCxnSpPr>
        <xdr:cNvPr id="13961" name="직선 화살표 연결선 13960">
          <a:extLst>
            <a:ext uri="{FF2B5EF4-FFF2-40B4-BE49-F238E27FC236}">
              <a16:creationId xmlns:a16="http://schemas.microsoft.com/office/drawing/2014/main" id="{9084D420-50DD-40EC-8C52-D697871974B5}"/>
            </a:ext>
          </a:extLst>
        </xdr:cNvPr>
        <xdr:cNvCxnSpPr/>
      </xdr:nvCxnSpPr>
      <xdr:spPr>
        <a:xfrm>
          <a:off x="10859860"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20</xdr:row>
      <xdr:rowOff>19050</xdr:rowOff>
    </xdr:from>
    <xdr:to>
      <xdr:col>40</xdr:col>
      <xdr:colOff>21680</xdr:colOff>
      <xdr:row>20</xdr:row>
      <xdr:rowOff>133350</xdr:rowOff>
    </xdr:to>
    <xdr:sp macro="" textlink="">
      <xdr:nvSpPr>
        <xdr:cNvPr id="13962" name="17">
          <a:extLst>
            <a:ext uri="{FF2B5EF4-FFF2-40B4-BE49-F238E27FC236}">
              <a16:creationId xmlns:a16="http://schemas.microsoft.com/office/drawing/2014/main" id="{C888DA81-49C0-4BF8-ACA4-738E249099FC}"/>
            </a:ext>
          </a:extLst>
        </xdr:cNvPr>
        <xdr:cNvSpPr/>
      </xdr:nvSpPr>
      <xdr:spPr>
        <a:xfrm>
          <a:off x="9655628" y="32099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20</xdr:row>
      <xdr:rowOff>76200</xdr:rowOff>
    </xdr:from>
    <xdr:to>
      <xdr:col>31</xdr:col>
      <xdr:colOff>102053</xdr:colOff>
      <xdr:row>20</xdr:row>
      <xdr:rowOff>76200</xdr:rowOff>
    </xdr:to>
    <xdr:cxnSp macro="">
      <xdr:nvCxnSpPr>
        <xdr:cNvPr id="13963" name="직선 화살표 연결선 13962">
          <a:extLst>
            <a:ext uri="{FF2B5EF4-FFF2-40B4-BE49-F238E27FC236}">
              <a16:creationId xmlns:a16="http://schemas.microsoft.com/office/drawing/2014/main" id="{FA193D8B-E421-453F-81A0-541F2DDFADAC}"/>
            </a:ext>
          </a:extLst>
        </xdr:cNvPr>
        <xdr:cNvCxnSpPr/>
      </xdr:nvCxnSpPr>
      <xdr:spPr>
        <a:xfrm>
          <a:off x="9655628"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19</xdr:row>
      <xdr:rowOff>19050</xdr:rowOff>
    </xdr:from>
    <xdr:to>
      <xdr:col>44</xdr:col>
      <xdr:colOff>82913</xdr:colOff>
      <xdr:row>19</xdr:row>
      <xdr:rowOff>133350</xdr:rowOff>
    </xdr:to>
    <xdr:sp macro="" textlink="">
      <xdr:nvSpPr>
        <xdr:cNvPr id="13964" name="16">
          <a:extLst>
            <a:ext uri="{FF2B5EF4-FFF2-40B4-BE49-F238E27FC236}">
              <a16:creationId xmlns:a16="http://schemas.microsoft.com/office/drawing/2014/main" id="{E976C9F9-1427-4A92-B2FC-1860D940ADFD}"/>
            </a:ext>
          </a:extLst>
        </xdr:cNvPr>
        <xdr:cNvSpPr/>
      </xdr:nvSpPr>
      <xdr:spPr>
        <a:xfrm>
          <a:off x="9655628" y="3057525"/>
          <a:ext cx="18382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19</xdr:row>
      <xdr:rowOff>76200</xdr:rowOff>
    </xdr:from>
    <xdr:to>
      <xdr:col>31</xdr:col>
      <xdr:colOff>102053</xdr:colOff>
      <xdr:row>19</xdr:row>
      <xdr:rowOff>76200</xdr:rowOff>
    </xdr:to>
    <xdr:cxnSp macro="">
      <xdr:nvCxnSpPr>
        <xdr:cNvPr id="13965" name="직선 화살표 연결선 13964">
          <a:extLst>
            <a:ext uri="{FF2B5EF4-FFF2-40B4-BE49-F238E27FC236}">
              <a16:creationId xmlns:a16="http://schemas.microsoft.com/office/drawing/2014/main" id="{34742C83-C670-4A4F-A77C-17AB984E298A}"/>
            </a:ext>
          </a:extLst>
        </xdr:cNvPr>
        <xdr:cNvCxnSpPr/>
      </xdr:nvCxnSpPr>
      <xdr:spPr>
        <a:xfrm>
          <a:off x="9655628"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18</xdr:row>
      <xdr:rowOff>19050</xdr:rowOff>
    </xdr:from>
    <xdr:to>
      <xdr:col>83</xdr:col>
      <xdr:colOff>123734</xdr:colOff>
      <xdr:row>18</xdr:row>
      <xdr:rowOff>133350</xdr:rowOff>
    </xdr:to>
    <xdr:sp macro="" textlink="">
      <xdr:nvSpPr>
        <xdr:cNvPr id="13966" name="15">
          <a:extLst>
            <a:ext uri="{FF2B5EF4-FFF2-40B4-BE49-F238E27FC236}">
              <a16:creationId xmlns:a16="http://schemas.microsoft.com/office/drawing/2014/main" id="{AC6ADAAB-5208-4E3C-AAB0-23C8A178C710}"/>
            </a:ext>
          </a:extLst>
        </xdr:cNvPr>
        <xdr:cNvSpPr/>
      </xdr:nvSpPr>
      <xdr:spPr>
        <a:xfrm>
          <a:off x="9655628" y="29051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18</xdr:row>
      <xdr:rowOff>76200</xdr:rowOff>
    </xdr:from>
    <xdr:to>
      <xdr:col>31</xdr:col>
      <xdr:colOff>102053</xdr:colOff>
      <xdr:row>18</xdr:row>
      <xdr:rowOff>76200</xdr:rowOff>
    </xdr:to>
    <xdr:cxnSp macro="">
      <xdr:nvCxnSpPr>
        <xdr:cNvPr id="13967" name="직선 화살표 연결선 13966">
          <a:extLst>
            <a:ext uri="{FF2B5EF4-FFF2-40B4-BE49-F238E27FC236}">
              <a16:creationId xmlns:a16="http://schemas.microsoft.com/office/drawing/2014/main" id="{ED9C46A5-1506-4972-BEF7-AC4AC9CCB00A}"/>
            </a:ext>
          </a:extLst>
        </xdr:cNvPr>
        <xdr:cNvCxnSpPr/>
      </xdr:nvCxnSpPr>
      <xdr:spPr>
        <a:xfrm>
          <a:off x="9655628"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61232</xdr:colOff>
      <xdr:row>17</xdr:row>
      <xdr:rowOff>19050</xdr:rowOff>
    </xdr:from>
    <xdr:to>
      <xdr:col>83</xdr:col>
      <xdr:colOff>123734</xdr:colOff>
      <xdr:row>17</xdr:row>
      <xdr:rowOff>133350</xdr:rowOff>
    </xdr:to>
    <xdr:sp macro="" textlink="">
      <xdr:nvSpPr>
        <xdr:cNvPr id="13968" name="14">
          <a:extLst>
            <a:ext uri="{FF2B5EF4-FFF2-40B4-BE49-F238E27FC236}">
              <a16:creationId xmlns:a16="http://schemas.microsoft.com/office/drawing/2014/main" id="{DC4FCF2B-BB3C-4718-A6BA-DCD23877BF84}"/>
            </a:ext>
          </a:extLst>
        </xdr:cNvPr>
        <xdr:cNvSpPr/>
      </xdr:nvSpPr>
      <xdr:spPr>
        <a:xfrm>
          <a:off x="16472807" y="2752725"/>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79</xdr:col>
      <xdr:colOff>61232</xdr:colOff>
      <xdr:row>17</xdr:row>
      <xdr:rowOff>76200</xdr:rowOff>
    </xdr:from>
    <xdr:to>
      <xdr:col>79</xdr:col>
      <xdr:colOff>61232</xdr:colOff>
      <xdr:row>17</xdr:row>
      <xdr:rowOff>76200</xdr:rowOff>
    </xdr:to>
    <xdr:cxnSp macro="">
      <xdr:nvCxnSpPr>
        <xdr:cNvPr id="13969" name="직선 화살표 연결선 13968">
          <a:extLst>
            <a:ext uri="{FF2B5EF4-FFF2-40B4-BE49-F238E27FC236}">
              <a16:creationId xmlns:a16="http://schemas.microsoft.com/office/drawing/2014/main" id="{6C98155F-C708-49DB-BFFB-A22A0CA85AD5}"/>
            </a:ext>
          </a:extLst>
        </xdr:cNvPr>
        <xdr:cNvCxnSpPr/>
      </xdr:nvCxnSpPr>
      <xdr:spPr>
        <a:xfrm>
          <a:off x="16472807"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16</xdr:row>
      <xdr:rowOff>19050</xdr:rowOff>
    </xdr:from>
    <xdr:to>
      <xdr:col>79</xdr:col>
      <xdr:colOff>62502</xdr:colOff>
      <xdr:row>16</xdr:row>
      <xdr:rowOff>133350</xdr:rowOff>
    </xdr:to>
    <xdr:sp macro="" textlink="">
      <xdr:nvSpPr>
        <xdr:cNvPr id="13970" name="13">
          <a:extLst>
            <a:ext uri="{FF2B5EF4-FFF2-40B4-BE49-F238E27FC236}">
              <a16:creationId xmlns:a16="http://schemas.microsoft.com/office/drawing/2014/main" id="{3DA8EF1D-B980-4992-9ADA-A2F9090A3591}"/>
            </a:ext>
          </a:extLst>
        </xdr:cNvPr>
        <xdr:cNvSpPr/>
      </xdr:nvSpPr>
      <xdr:spPr>
        <a:xfrm>
          <a:off x="15860486" y="26003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16</xdr:row>
      <xdr:rowOff>76200</xdr:rowOff>
    </xdr:from>
    <xdr:to>
      <xdr:col>75</xdr:col>
      <xdr:colOff>20411</xdr:colOff>
      <xdr:row>16</xdr:row>
      <xdr:rowOff>76200</xdr:rowOff>
    </xdr:to>
    <xdr:cxnSp macro="">
      <xdr:nvCxnSpPr>
        <xdr:cNvPr id="13971" name="직선 화살표 연결선 13970">
          <a:extLst>
            <a:ext uri="{FF2B5EF4-FFF2-40B4-BE49-F238E27FC236}">
              <a16:creationId xmlns:a16="http://schemas.microsoft.com/office/drawing/2014/main" id="{9CD341CE-FD4D-4027-8E2C-34B82878CB22}"/>
            </a:ext>
          </a:extLst>
        </xdr:cNvPr>
        <xdr:cNvCxnSpPr/>
      </xdr:nvCxnSpPr>
      <xdr:spPr>
        <a:xfrm>
          <a:off x="15860486"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20411</xdr:colOff>
      <xdr:row>15</xdr:row>
      <xdr:rowOff>19050</xdr:rowOff>
    </xdr:from>
    <xdr:to>
      <xdr:col>83</xdr:col>
      <xdr:colOff>123734</xdr:colOff>
      <xdr:row>15</xdr:row>
      <xdr:rowOff>133350</xdr:rowOff>
    </xdr:to>
    <xdr:sp macro="" textlink="">
      <xdr:nvSpPr>
        <xdr:cNvPr id="13972" name="12">
          <a:extLst>
            <a:ext uri="{FF2B5EF4-FFF2-40B4-BE49-F238E27FC236}">
              <a16:creationId xmlns:a16="http://schemas.microsoft.com/office/drawing/2014/main" id="{DA2C93E2-F8C9-480C-853A-819C115C3A87}"/>
            </a:ext>
          </a:extLst>
        </xdr:cNvPr>
        <xdr:cNvSpPr/>
      </xdr:nvSpPr>
      <xdr:spPr>
        <a:xfrm>
          <a:off x="15860486" y="24479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20411</xdr:colOff>
      <xdr:row>15</xdr:row>
      <xdr:rowOff>76200</xdr:rowOff>
    </xdr:from>
    <xdr:to>
      <xdr:col>75</xdr:col>
      <xdr:colOff>20411</xdr:colOff>
      <xdr:row>15</xdr:row>
      <xdr:rowOff>76200</xdr:rowOff>
    </xdr:to>
    <xdr:cxnSp macro="">
      <xdr:nvCxnSpPr>
        <xdr:cNvPr id="13973" name="직선 화살표 연결선 13972">
          <a:extLst>
            <a:ext uri="{FF2B5EF4-FFF2-40B4-BE49-F238E27FC236}">
              <a16:creationId xmlns:a16="http://schemas.microsoft.com/office/drawing/2014/main" id="{28E2CFDF-F532-4DD4-A3E8-A9EBD154DF8E}"/>
            </a:ext>
          </a:extLst>
        </xdr:cNvPr>
        <xdr:cNvCxnSpPr/>
      </xdr:nvCxnSpPr>
      <xdr:spPr>
        <a:xfrm>
          <a:off x="15860486"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14</xdr:row>
      <xdr:rowOff>19050</xdr:rowOff>
    </xdr:from>
    <xdr:to>
      <xdr:col>79</xdr:col>
      <xdr:colOff>62502</xdr:colOff>
      <xdr:row>14</xdr:row>
      <xdr:rowOff>133350</xdr:rowOff>
    </xdr:to>
    <xdr:sp macro="" textlink="">
      <xdr:nvSpPr>
        <xdr:cNvPr id="13974" name="11">
          <a:extLst>
            <a:ext uri="{FF2B5EF4-FFF2-40B4-BE49-F238E27FC236}">
              <a16:creationId xmlns:a16="http://schemas.microsoft.com/office/drawing/2014/main" id="{89E46972-A416-445C-A88B-E8E24DB2620D}"/>
            </a:ext>
          </a:extLst>
        </xdr:cNvPr>
        <xdr:cNvSpPr/>
      </xdr:nvSpPr>
      <xdr:spPr>
        <a:xfrm>
          <a:off x="15227754" y="2295525"/>
          <a:ext cx="1246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14</xdr:row>
      <xdr:rowOff>76200</xdr:rowOff>
    </xdr:from>
    <xdr:to>
      <xdr:col>70</xdr:col>
      <xdr:colOff>102054</xdr:colOff>
      <xdr:row>14</xdr:row>
      <xdr:rowOff>76200</xdr:rowOff>
    </xdr:to>
    <xdr:cxnSp macro="">
      <xdr:nvCxnSpPr>
        <xdr:cNvPr id="13975" name="직선 화살표 연결선 13974">
          <a:extLst>
            <a:ext uri="{FF2B5EF4-FFF2-40B4-BE49-F238E27FC236}">
              <a16:creationId xmlns:a16="http://schemas.microsoft.com/office/drawing/2014/main" id="{F9D44672-B457-4EE3-8372-0CB030E364FE}"/>
            </a:ext>
          </a:extLst>
        </xdr:cNvPr>
        <xdr:cNvCxnSpPr/>
      </xdr:nvCxnSpPr>
      <xdr:spPr>
        <a:xfrm>
          <a:off x="15227754"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102054</xdr:colOff>
      <xdr:row>13</xdr:row>
      <xdr:rowOff>19050</xdr:rowOff>
    </xdr:from>
    <xdr:to>
      <xdr:col>79</xdr:col>
      <xdr:colOff>62502</xdr:colOff>
      <xdr:row>13</xdr:row>
      <xdr:rowOff>133350</xdr:rowOff>
    </xdr:to>
    <xdr:sp macro="" textlink="">
      <xdr:nvSpPr>
        <xdr:cNvPr id="13976" name="10">
          <a:extLst>
            <a:ext uri="{FF2B5EF4-FFF2-40B4-BE49-F238E27FC236}">
              <a16:creationId xmlns:a16="http://schemas.microsoft.com/office/drawing/2014/main" id="{EA9282B4-0719-4A5D-A4F3-AE46C33995C6}"/>
            </a:ext>
          </a:extLst>
        </xdr:cNvPr>
        <xdr:cNvSpPr/>
      </xdr:nvSpPr>
      <xdr:spPr>
        <a:xfrm>
          <a:off x="15227754" y="2143125"/>
          <a:ext cx="1246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102054</xdr:colOff>
      <xdr:row>13</xdr:row>
      <xdr:rowOff>76200</xdr:rowOff>
    </xdr:from>
    <xdr:to>
      <xdr:col>70</xdr:col>
      <xdr:colOff>102054</xdr:colOff>
      <xdr:row>13</xdr:row>
      <xdr:rowOff>76200</xdr:rowOff>
    </xdr:to>
    <xdr:cxnSp macro="">
      <xdr:nvCxnSpPr>
        <xdr:cNvPr id="13977" name="직선 화살표 연결선 13976">
          <a:extLst>
            <a:ext uri="{FF2B5EF4-FFF2-40B4-BE49-F238E27FC236}">
              <a16:creationId xmlns:a16="http://schemas.microsoft.com/office/drawing/2014/main" id="{17F30E60-B214-4AD9-8B09-F8A980EBF642}"/>
            </a:ext>
          </a:extLst>
        </xdr:cNvPr>
        <xdr:cNvCxnSpPr/>
      </xdr:nvCxnSpPr>
      <xdr:spPr>
        <a:xfrm>
          <a:off x="15227754"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12</xdr:row>
      <xdr:rowOff>19050</xdr:rowOff>
    </xdr:from>
    <xdr:to>
      <xdr:col>70</xdr:col>
      <xdr:colOff>103324</xdr:colOff>
      <xdr:row>12</xdr:row>
      <xdr:rowOff>133350</xdr:rowOff>
    </xdr:to>
    <xdr:sp macro="" textlink="">
      <xdr:nvSpPr>
        <xdr:cNvPr id="13978" name="9">
          <a:extLst>
            <a:ext uri="{FF2B5EF4-FFF2-40B4-BE49-F238E27FC236}">
              <a16:creationId xmlns:a16="http://schemas.microsoft.com/office/drawing/2014/main" id="{9C5CFC28-1667-4C08-BEB9-A50F77009F08}"/>
            </a:ext>
          </a:extLst>
        </xdr:cNvPr>
        <xdr:cNvSpPr/>
      </xdr:nvSpPr>
      <xdr:spPr>
        <a:xfrm>
          <a:off x="12104915" y="1990725"/>
          <a:ext cx="3124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12</xdr:row>
      <xdr:rowOff>76200</xdr:rowOff>
    </xdr:from>
    <xdr:to>
      <xdr:col>48</xdr:col>
      <xdr:colOff>122465</xdr:colOff>
      <xdr:row>12</xdr:row>
      <xdr:rowOff>76200</xdr:rowOff>
    </xdr:to>
    <xdr:cxnSp macro="">
      <xdr:nvCxnSpPr>
        <xdr:cNvPr id="13979" name="직선 화살표 연결선 13978">
          <a:extLst>
            <a:ext uri="{FF2B5EF4-FFF2-40B4-BE49-F238E27FC236}">
              <a16:creationId xmlns:a16="http://schemas.microsoft.com/office/drawing/2014/main" id="{DA4CFBA0-ACD2-4CED-A572-F890F1161123}"/>
            </a:ext>
          </a:extLst>
        </xdr:cNvPr>
        <xdr:cNvCxnSpPr/>
      </xdr:nvCxnSpPr>
      <xdr:spPr>
        <a:xfrm>
          <a:off x="12104915"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122465</xdr:colOff>
      <xdr:row>11</xdr:row>
      <xdr:rowOff>19050</xdr:rowOff>
    </xdr:from>
    <xdr:to>
      <xdr:col>70</xdr:col>
      <xdr:colOff>103324</xdr:colOff>
      <xdr:row>11</xdr:row>
      <xdr:rowOff>133350</xdr:rowOff>
    </xdr:to>
    <xdr:sp macro="" textlink="">
      <xdr:nvSpPr>
        <xdr:cNvPr id="13980" name="8">
          <a:extLst>
            <a:ext uri="{FF2B5EF4-FFF2-40B4-BE49-F238E27FC236}">
              <a16:creationId xmlns:a16="http://schemas.microsoft.com/office/drawing/2014/main" id="{A8FAE52A-C7C1-4663-8B7D-2BB799AA6462}"/>
            </a:ext>
          </a:extLst>
        </xdr:cNvPr>
        <xdr:cNvSpPr/>
      </xdr:nvSpPr>
      <xdr:spPr>
        <a:xfrm>
          <a:off x="12104915" y="1838325"/>
          <a:ext cx="3124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122465</xdr:colOff>
      <xdr:row>11</xdr:row>
      <xdr:rowOff>76200</xdr:rowOff>
    </xdr:from>
    <xdr:to>
      <xdr:col>48</xdr:col>
      <xdr:colOff>122465</xdr:colOff>
      <xdr:row>11</xdr:row>
      <xdr:rowOff>76200</xdr:rowOff>
    </xdr:to>
    <xdr:cxnSp macro="">
      <xdr:nvCxnSpPr>
        <xdr:cNvPr id="13981" name="직선 화살표 연결선 13980">
          <a:extLst>
            <a:ext uri="{FF2B5EF4-FFF2-40B4-BE49-F238E27FC236}">
              <a16:creationId xmlns:a16="http://schemas.microsoft.com/office/drawing/2014/main" id="{E8655846-D095-4FD8-BDFC-305936F4C9A2}"/>
            </a:ext>
          </a:extLst>
        </xdr:cNvPr>
        <xdr:cNvCxnSpPr/>
      </xdr:nvCxnSpPr>
      <xdr:spPr>
        <a:xfrm>
          <a:off x="12104915" y="189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10</xdr:row>
      <xdr:rowOff>19050</xdr:rowOff>
    </xdr:from>
    <xdr:to>
      <xdr:col>48</xdr:col>
      <xdr:colOff>123734</xdr:colOff>
      <xdr:row>10</xdr:row>
      <xdr:rowOff>133350</xdr:rowOff>
    </xdr:to>
    <xdr:sp macro="" textlink="">
      <xdr:nvSpPr>
        <xdr:cNvPr id="13982" name="7">
          <a:extLst>
            <a:ext uri="{FF2B5EF4-FFF2-40B4-BE49-F238E27FC236}">
              <a16:creationId xmlns:a16="http://schemas.microsoft.com/office/drawing/2014/main" id="{0C544476-E114-416E-BD39-E13A2A82C857}"/>
            </a:ext>
          </a:extLst>
        </xdr:cNvPr>
        <xdr:cNvSpPr/>
      </xdr:nvSpPr>
      <xdr:spPr>
        <a:xfrm>
          <a:off x="11492593" y="1685925"/>
          <a:ext cx="6135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10</xdr:row>
      <xdr:rowOff>76200</xdr:rowOff>
    </xdr:from>
    <xdr:to>
      <xdr:col>44</xdr:col>
      <xdr:colOff>81643</xdr:colOff>
      <xdr:row>10</xdr:row>
      <xdr:rowOff>76200</xdr:rowOff>
    </xdr:to>
    <xdr:cxnSp macro="">
      <xdr:nvCxnSpPr>
        <xdr:cNvPr id="13983" name="직선 화살표 연결선 13982">
          <a:extLst>
            <a:ext uri="{FF2B5EF4-FFF2-40B4-BE49-F238E27FC236}">
              <a16:creationId xmlns:a16="http://schemas.microsoft.com/office/drawing/2014/main" id="{CF005FA8-EF8E-4D8D-9020-A727D11E5DDE}"/>
            </a:ext>
          </a:extLst>
        </xdr:cNvPr>
        <xdr:cNvCxnSpPr/>
      </xdr:nvCxnSpPr>
      <xdr:spPr>
        <a:xfrm>
          <a:off x="11492593" y="174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9</xdr:row>
      <xdr:rowOff>19050</xdr:rowOff>
    </xdr:from>
    <xdr:to>
      <xdr:col>44</xdr:col>
      <xdr:colOff>82913</xdr:colOff>
      <xdr:row>9</xdr:row>
      <xdr:rowOff>133350</xdr:rowOff>
    </xdr:to>
    <xdr:sp macro="" textlink="">
      <xdr:nvSpPr>
        <xdr:cNvPr id="13984" name="6">
          <a:extLst>
            <a:ext uri="{FF2B5EF4-FFF2-40B4-BE49-F238E27FC236}">
              <a16:creationId xmlns:a16="http://schemas.microsoft.com/office/drawing/2014/main" id="{DE3ADCA8-C4F7-423D-A684-5931325997E1}"/>
            </a:ext>
          </a:extLst>
        </xdr:cNvPr>
        <xdr:cNvSpPr/>
      </xdr:nvSpPr>
      <xdr:spPr>
        <a:xfrm>
          <a:off x="10859860" y="1533525"/>
          <a:ext cx="6340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9</xdr:row>
      <xdr:rowOff>76200</xdr:rowOff>
    </xdr:from>
    <xdr:to>
      <xdr:col>40</xdr:col>
      <xdr:colOff>20410</xdr:colOff>
      <xdr:row>9</xdr:row>
      <xdr:rowOff>76200</xdr:rowOff>
    </xdr:to>
    <xdr:cxnSp macro="">
      <xdr:nvCxnSpPr>
        <xdr:cNvPr id="13985" name="직선 화살표 연결선 13984">
          <a:extLst>
            <a:ext uri="{FF2B5EF4-FFF2-40B4-BE49-F238E27FC236}">
              <a16:creationId xmlns:a16="http://schemas.microsoft.com/office/drawing/2014/main" id="{11650B9F-4294-4415-A11A-757EC425CB23}"/>
            </a:ext>
          </a:extLst>
        </xdr:cNvPr>
        <xdr:cNvCxnSpPr/>
      </xdr:nvCxnSpPr>
      <xdr:spPr>
        <a:xfrm>
          <a:off x="10859860" y="159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8</xdr:row>
      <xdr:rowOff>19050</xdr:rowOff>
    </xdr:from>
    <xdr:to>
      <xdr:col>48</xdr:col>
      <xdr:colOff>123734</xdr:colOff>
      <xdr:row>8</xdr:row>
      <xdr:rowOff>133350</xdr:rowOff>
    </xdr:to>
    <xdr:sp macro="" textlink="">
      <xdr:nvSpPr>
        <xdr:cNvPr id="13986" name="5">
          <a:extLst>
            <a:ext uri="{FF2B5EF4-FFF2-40B4-BE49-F238E27FC236}">
              <a16:creationId xmlns:a16="http://schemas.microsoft.com/office/drawing/2014/main" id="{79E16FF6-D5A0-4B04-AF62-84B69E362D8F}"/>
            </a:ext>
          </a:extLst>
        </xdr:cNvPr>
        <xdr:cNvSpPr/>
      </xdr:nvSpPr>
      <xdr:spPr>
        <a:xfrm>
          <a:off x="10859860" y="1381125"/>
          <a:ext cx="1246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8</xdr:row>
      <xdr:rowOff>76200</xdr:rowOff>
    </xdr:from>
    <xdr:to>
      <xdr:col>40</xdr:col>
      <xdr:colOff>20410</xdr:colOff>
      <xdr:row>8</xdr:row>
      <xdr:rowOff>76200</xdr:rowOff>
    </xdr:to>
    <xdr:cxnSp macro="">
      <xdr:nvCxnSpPr>
        <xdr:cNvPr id="13987" name="직선 화살표 연결선 13986">
          <a:extLst>
            <a:ext uri="{FF2B5EF4-FFF2-40B4-BE49-F238E27FC236}">
              <a16:creationId xmlns:a16="http://schemas.microsoft.com/office/drawing/2014/main" id="{820691DD-0221-4BFF-B6FB-0CA4009E0BE0}"/>
            </a:ext>
          </a:extLst>
        </xdr:cNvPr>
        <xdr:cNvCxnSpPr/>
      </xdr:nvCxnSpPr>
      <xdr:spPr>
        <a:xfrm>
          <a:off x="10859860" y="143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7</xdr:row>
      <xdr:rowOff>19050</xdr:rowOff>
    </xdr:from>
    <xdr:to>
      <xdr:col>40</xdr:col>
      <xdr:colOff>21680</xdr:colOff>
      <xdr:row>7</xdr:row>
      <xdr:rowOff>133350</xdr:rowOff>
    </xdr:to>
    <xdr:sp macro="" textlink="">
      <xdr:nvSpPr>
        <xdr:cNvPr id="13988" name="4">
          <a:extLst>
            <a:ext uri="{FF2B5EF4-FFF2-40B4-BE49-F238E27FC236}">
              <a16:creationId xmlns:a16="http://schemas.microsoft.com/office/drawing/2014/main" id="{8D7DFE73-D04B-4F94-8C30-77033DEBEA69}"/>
            </a:ext>
          </a:extLst>
        </xdr:cNvPr>
        <xdr:cNvSpPr/>
      </xdr:nvSpPr>
      <xdr:spPr>
        <a:xfrm>
          <a:off x="9655628" y="1228725"/>
          <a:ext cx="1205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7</xdr:row>
      <xdr:rowOff>76200</xdr:rowOff>
    </xdr:from>
    <xdr:to>
      <xdr:col>31</xdr:col>
      <xdr:colOff>102053</xdr:colOff>
      <xdr:row>7</xdr:row>
      <xdr:rowOff>76200</xdr:rowOff>
    </xdr:to>
    <xdr:cxnSp macro="">
      <xdr:nvCxnSpPr>
        <xdr:cNvPr id="13989" name="직선 화살표 연결선 13988">
          <a:extLst>
            <a:ext uri="{FF2B5EF4-FFF2-40B4-BE49-F238E27FC236}">
              <a16:creationId xmlns:a16="http://schemas.microsoft.com/office/drawing/2014/main" id="{327EDCA0-CAAF-4E3A-ACDC-2EF2BE873E7C}"/>
            </a:ext>
          </a:extLst>
        </xdr:cNvPr>
        <xdr:cNvCxnSpPr/>
      </xdr:nvCxnSpPr>
      <xdr:spPr>
        <a:xfrm>
          <a:off x="9655628" y="128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6</xdr:row>
      <xdr:rowOff>19050</xdr:rowOff>
    </xdr:from>
    <xdr:to>
      <xdr:col>40</xdr:col>
      <xdr:colOff>21680</xdr:colOff>
      <xdr:row>6</xdr:row>
      <xdr:rowOff>133350</xdr:rowOff>
    </xdr:to>
    <xdr:sp macro="" textlink="">
      <xdr:nvSpPr>
        <xdr:cNvPr id="13990" name="3">
          <a:extLst>
            <a:ext uri="{FF2B5EF4-FFF2-40B4-BE49-F238E27FC236}">
              <a16:creationId xmlns:a16="http://schemas.microsoft.com/office/drawing/2014/main" id="{6B1CF8BD-5304-4691-95BF-CE6161E76185}"/>
            </a:ext>
          </a:extLst>
        </xdr:cNvPr>
        <xdr:cNvSpPr/>
      </xdr:nvSpPr>
      <xdr:spPr>
        <a:xfrm>
          <a:off x="9655628" y="1076325"/>
          <a:ext cx="1205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6</xdr:row>
      <xdr:rowOff>76200</xdr:rowOff>
    </xdr:from>
    <xdr:to>
      <xdr:col>31</xdr:col>
      <xdr:colOff>102053</xdr:colOff>
      <xdr:row>6</xdr:row>
      <xdr:rowOff>76200</xdr:rowOff>
    </xdr:to>
    <xdr:cxnSp macro="">
      <xdr:nvCxnSpPr>
        <xdr:cNvPr id="13991" name="직선 화살표 연결선 13990">
          <a:extLst>
            <a:ext uri="{FF2B5EF4-FFF2-40B4-BE49-F238E27FC236}">
              <a16:creationId xmlns:a16="http://schemas.microsoft.com/office/drawing/2014/main" id="{52B2E1F8-07E8-4777-BA2C-612481989643}"/>
            </a:ext>
          </a:extLst>
        </xdr:cNvPr>
        <xdr:cNvCxnSpPr/>
      </xdr:nvCxnSpPr>
      <xdr:spPr>
        <a:xfrm>
          <a:off x="9655628" y="113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5</xdr:row>
      <xdr:rowOff>19050</xdr:rowOff>
    </xdr:from>
    <xdr:to>
      <xdr:col>83</xdr:col>
      <xdr:colOff>123734</xdr:colOff>
      <xdr:row>5</xdr:row>
      <xdr:rowOff>133350</xdr:rowOff>
    </xdr:to>
    <xdr:sp macro="" textlink="">
      <xdr:nvSpPr>
        <xdr:cNvPr id="13992" name="2">
          <a:extLst>
            <a:ext uri="{FF2B5EF4-FFF2-40B4-BE49-F238E27FC236}">
              <a16:creationId xmlns:a16="http://schemas.microsoft.com/office/drawing/2014/main" id="{AACF227B-FB7E-4EB8-9961-1B6876CA0BC5}"/>
            </a:ext>
          </a:extLst>
        </xdr:cNvPr>
        <xdr:cNvSpPr/>
      </xdr:nvSpPr>
      <xdr:spPr>
        <a:xfrm>
          <a:off x="9655628" y="9239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5</xdr:row>
      <xdr:rowOff>76200</xdr:rowOff>
    </xdr:from>
    <xdr:to>
      <xdr:col>31</xdr:col>
      <xdr:colOff>102053</xdr:colOff>
      <xdr:row>5</xdr:row>
      <xdr:rowOff>76200</xdr:rowOff>
    </xdr:to>
    <xdr:cxnSp macro="">
      <xdr:nvCxnSpPr>
        <xdr:cNvPr id="13993" name="직선 화살표 연결선 13992">
          <a:extLst>
            <a:ext uri="{FF2B5EF4-FFF2-40B4-BE49-F238E27FC236}">
              <a16:creationId xmlns:a16="http://schemas.microsoft.com/office/drawing/2014/main" id="{B46D70B0-2E90-4D6E-A908-4DF805FEE764}"/>
            </a:ext>
          </a:extLst>
        </xdr:cNvPr>
        <xdr:cNvCxnSpPr/>
      </xdr:nvCxnSpPr>
      <xdr:spPr>
        <a:xfrm>
          <a:off x="9655628" y="98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xdr:row>
      <xdr:rowOff>19050</xdr:rowOff>
    </xdr:from>
    <xdr:to>
      <xdr:col>83</xdr:col>
      <xdr:colOff>123734</xdr:colOff>
      <xdr:row>4</xdr:row>
      <xdr:rowOff>133350</xdr:rowOff>
    </xdr:to>
    <xdr:sp macro="" textlink="">
      <xdr:nvSpPr>
        <xdr:cNvPr id="13994" name="1">
          <a:extLst>
            <a:ext uri="{FF2B5EF4-FFF2-40B4-BE49-F238E27FC236}">
              <a16:creationId xmlns:a16="http://schemas.microsoft.com/office/drawing/2014/main" id="{E4D2FD6E-240C-4E68-94C6-B971C457848A}"/>
            </a:ext>
          </a:extLst>
        </xdr:cNvPr>
        <xdr:cNvSpPr/>
      </xdr:nvSpPr>
      <xdr:spPr>
        <a:xfrm>
          <a:off x="9655628" y="771525"/>
          <a:ext cx="7451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xdr:row>
      <xdr:rowOff>76200</xdr:rowOff>
    </xdr:from>
    <xdr:to>
      <xdr:col>31</xdr:col>
      <xdr:colOff>102053</xdr:colOff>
      <xdr:row>4</xdr:row>
      <xdr:rowOff>76200</xdr:rowOff>
    </xdr:to>
    <xdr:cxnSp macro="">
      <xdr:nvCxnSpPr>
        <xdr:cNvPr id="13995" name="직선 화살표 연결선 13994">
          <a:extLst>
            <a:ext uri="{FF2B5EF4-FFF2-40B4-BE49-F238E27FC236}">
              <a16:creationId xmlns:a16="http://schemas.microsoft.com/office/drawing/2014/main" id="{36459779-2208-42D2-AFAF-EC4006A2C9AB}"/>
            </a:ext>
          </a:extLst>
        </xdr:cNvPr>
        <xdr:cNvCxnSpPr/>
      </xdr:nvCxnSpPr>
      <xdr:spPr>
        <a:xfrm>
          <a:off x="9655628" y="82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3" sqref="C23"/>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hidden="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379</v>
      </c>
      <c r="B3" s="72" t="s">
        <v>10</v>
      </c>
      <c r="C3" s="72"/>
      <c r="D3" s="72"/>
      <c r="E3" s="72" t="s">
        <v>11</v>
      </c>
      <c r="F3" s="72"/>
    </row>
    <row r="4" spans="1:64">
      <c r="A4" s="71" t="s">
        <v>12</v>
      </c>
      <c r="B4" s="82" t="s">
        <v>380</v>
      </c>
      <c r="C4" s="72"/>
      <c r="D4" s="72"/>
      <c r="E4" s="72" t="s">
        <v>11</v>
      </c>
      <c r="F4" s="72"/>
    </row>
    <row r="5" spans="1:64">
      <c r="A5" s="71" t="s">
        <v>13</v>
      </c>
      <c r="B5" s="72" t="s">
        <v>14</v>
      </c>
      <c r="C5" s="72"/>
      <c r="D5" s="72"/>
      <c r="E5" s="72" t="s">
        <v>11</v>
      </c>
      <c r="F5" s="72"/>
    </row>
    <row r="6" spans="1:64">
      <c r="A6" s="71" t="s">
        <v>15</v>
      </c>
      <c r="B6" s="72" t="s">
        <v>1258</v>
      </c>
      <c r="C6" s="72"/>
      <c r="D6" s="72"/>
      <c r="E6" s="72" t="s">
        <v>11</v>
      </c>
      <c r="F6" s="72"/>
    </row>
    <row r="7" spans="1:64">
      <c r="A7" s="71" t="s">
        <v>16</v>
      </c>
      <c r="B7" s="71" t="s">
        <v>10</v>
      </c>
      <c r="C7" s="72"/>
      <c r="D7" s="72"/>
      <c r="E7" s="72" t="s">
        <v>11</v>
      </c>
      <c r="F7" s="72"/>
    </row>
    <row r="8" spans="1:64">
      <c r="A8" s="71" t="s">
        <v>17</v>
      </c>
      <c r="B8" s="74" t="s">
        <v>1342</v>
      </c>
      <c r="C8" s="72" t="s">
        <v>1233</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381</v>
      </c>
      <c r="B11" s="78" t="s">
        <v>22</v>
      </c>
      <c r="C11" s="70" t="s">
        <v>1226</v>
      </c>
      <c r="D11" s="70" t="s">
        <v>23</v>
      </c>
      <c r="E11" s="79">
        <v>1</v>
      </c>
      <c r="F11" s="80" t="s">
        <v>24</v>
      </c>
      <c r="G11" s="81">
        <v>44197</v>
      </c>
      <c r="H11" s="80" t="s">
        <v>25</v>
      </c>
      <c r="I11" s="81">
        <v>44561</v>
      </c>
      <c r="J11" s="73" t="s">
        <v>398</v>
      </c>
      <c r="K11" s="73" t="s">
        <v>1234</v>
      </c>
      <c r="L11" s="73" t="s">
        <v>395</v>
      </c>
      <c r="M11" s="73">
        <v>1</v>
      </c>
      <c r="N11" s="78" t="s">
        <v>26</v>
      </c>
      <c r="O11" s="70">
        <v>0</v>
      </c>
      <c r="P11" s="70" t="s">
        <v>27</v>
      </c>
      <c r="Q11" s="78" t="s">
        <v>1367</v>
      </c>
      <c r="R11" s="73" t="s">
        <v>400</v>
      </c>
      <c r="S11" s="73">
        <v>1</v>
      </c>
      <c r="T11" s="73" t="s">
        <v>405</v>
      </c>
      <c r="U11" s="73">
        <v>1</v>
      </c>
      <c r="V11" s="73" t="s">
        <v>406</v>
      </c>
      <c r="W11" s="73">
        <v>1</v>
      </c>
      <c r="X11" s="73" t="s">
        <v>409</v>
      </c>
      <c r="Y11" s="73">
        <v>1</v>
      </c>
      <c r="Z11" s="73" t="s">
        <v>560</v>
      </c>
      <c r="AA11" s="73">
        <v>0</v>
      </c>
      <c r="AB11" s="73" t="s">
        <v>962</v>
      </c>
      <c r="AC11" s="73">
        <v>0</v>
      </c>
      <c r="AD11" s="73" t="s">
        <v>992</v>
      </c>
      <c r="AE11" s="73">
        <v>1</v>
      </c>
      <c r="AF11" s="73" t="s">
        <v>1197</v>
      </c>
      <c r="AG11" s="73">
        <v>1</v>
      </c>
    </row>
    <row r="12" spans="1:64">
      <c r="A12" s="73" t="s">
        <v>384</v>
      </c>
      <c r="B12" s="73" t="s">
        <v>385</v>
      </c>
      <c r="C12" s="73">
        <v>1</v>
      </c>
      <c r="D12" s="73" t="s">
        <v>386</v>
      </c>
      <c r="E12" s="73">
        <v>1</v>
      </c>
      <c r="F12" s="73" t="s">
        <v>387</v>
      </c>
      <c r="G12" s="73">
        <v>0</v>
      </c>
      <c r="H12" s="73" t="s">
        <v>388</v>
      </c>
      <c r="I12" s="73">
        <v>1</v>
      </c>
      <c r="J12" s="73" t="s">
        <v>389</v>
      </c>
      <c r="K12" s="73">
        <v>0.7</v>
      </c>
      <c r="L12" s="73" t="s">
        <v>390</v>
      </c>
      <c r="M12" s="73">
        <v>2</v>
      </c>
      <c r="N12" s="73" t="s">
        <v>391</v>
      </c>
      <c r="O12" s="73">
        <v>1</v>
      </c>
      <c r="P12" s="73" t="s">
        <v>394</v>
      </c>
      <c r="Q12" s="73">
        <v>1</v>
      </c>
      <c r="R12" s="73" t="s">
        <v>401</v>
      </c>
      <c r="S12" s="73">
        <v>7</v>
      </c>
      <c r="T12" s="73" t="s">
        <v>402</v>
      </c>
      <c r="U12" s="73">
        <v>0</v>
      </c>
      <c r="V12" s="73" t="s">
        <v>403</v>
      </c>
      <c r="W12" s="73">
        <v>100</v>
      </c>
      <c r="X12" s="73" t="s">
        <v>404</v>
      </c>
      <c r="Y12" s="73">
        <v>0</v>
      </c>
      <c r="Z12" s="73" t="s">
        <v>407</v>
      </c>
      <c r="AA12" s="73">
        <v>1</v>
      </c>
      <c r="AB12" s="73" t="s">
        <v>408</v>
      </c>
      <c r="AC12" s="73">
        <v>1</v>
      </c>
      <c r="AD12" s="73" t="s">
        <v>522</v>
      </c>
      <c r="AE12" s="73">
        <v>1</v>
      </c>
      <c r="AF12" s="73" t="s">
        <v>536</v>
      </c>
      <c r="AG12" s="73">
        <v>0</v>
      </c>
      <c r="AH12" s="73" t="s">
        <v>969</v>
      </c>
      <c r="AI12" s="73">
        <v>9</v>
      </c>
      <c r="AJ12" s="73" t="s">
        <v>1193</v>
      </c>
      <c r="AK12" s="73">
        <v>1</v>
      </c>
      <c r="AL12" s="73" t="s">
        <v>1194</v>
      </c>
      <c r="AM12" s="73">
        <v>1</v>
      </c>
      <c r="AN12" s="73" t="s">
        <v>1195</v>
      </c>
      <c r="AO12" s="73">
        <v>1</v>
      </c>
      <c r="AP12" s="73" t="s">
        <v>1196</v>
      </c>
      <c r="AQ12" s="123" t="s">
        <v>1366</v>
      </c>
    </row>
    <row r="13" spans="1:64">
      <c r="A13" s="72" t="s">
        <v>382</v>
      </c>
      <c r="B13" s="78" t="s">
        <v>28</v>
      </c>
      <c r="C13" s="70">
        <v>1</v>
      </c>
      <c r="D13" s="78" t="s">
        <v>29</v>
      </c>
      <c r="E13" s="70" t="s">
        <v>1232</v>
      </c>
      <c r="F13" s="70" t="s">
        <v>30</v>
      </c>
      <c r="G13" s="80" t="s">
        <v>524</v>
      </c>
      <c r="H13" s="80" t="s">
        <v>31</v>
      </c>
      <c r="I13" s="73" t="s">
        <v>524</v>
      </c>
    </row>
    <row r="14" spans="1:64">
      <c r="A14" s="72" t="s">
        <v>383</v>
      </c>
      <c r="B14" s="79" t="s">
        <v>32</v>
      </c>
      <c r="C14" s="79" t="s">
        <v>1392</v>
      </c>
      <c r="D14" s="79" t="s">
        <v>33</v>
      </c>
      <c r="E14" s="79" t="s">
        <v>537</v>
      </c>
      <c r="F14" s="79" t="s">
        <v>34</v>
      </c>
      <c r="G14" s="79" t="s">
        <v>1393</v>
      </c>
      <c r="H14" s="79" t="s">
        <v>35</v>
      </c>
      <c r="I14" s="79" t="b">
        <v>0</v>
      </c>
      <c r="J14" s="79" t="s">
        <v>36</v>
      </c>
      <c r="K14" s="79" t="s">
        <v>1394</v>
      </c>
      <c r="L14" s="79" t="s">
        <v>37</v>
      </c>
      <c r="M14" s="79" t="s">
        <v>548</v>
      </c>
      <c r="N14" s="79" t="s">
        <v>38</v>
      </c>
      <c r="O14" s="79" t="s">
        <v>1393</v>
      </c>
      <c r="P14" s="79" t="s">
        <v>39</v>
      </c>
      <c r="Q14" s="79" t="b">
        <v>0</v>
      </c>
      <c r="R14" s="79" t="s">
        <v>40</v>
      </c>
      <c r="S14" s="79" t="s">
        <v>1395</v>
      </c>
      <c r="T14" s="79" t="s">
        <v>41</v>
      </c>
      <c r="U14" s="79" t="s">
        <v>549</v>
      </c>
      <c r="V14" s="79" t="s">
        <v>42</v>
      </c>
      <c r="W14" s="79" t="s">
        <v>1393</v>
      </c>
      <c r="X14" s="79" t="s">
        <v>43</v>
      </c>
      <c r="Y14" s="79" t="b">
        <v>1</v>
      </c>
      <c r="Z14" s="79" t="s">
        <v>44</v>
      </c>
      <c r="AA14" s="79" t="s">
        <v>996</v>
      </c>
      <c r="AB14" s="79" t="s">
        <v>45</v>
      </c>
      <c r="AC14" s="79" t="s">
        <v>995</v>
      </c>
      <c r="AD14" s="79" t="s">
        <v>46</v>
      </c>
      <c r="AE14" s="79" t="s">
        <v>997</v>
      </c>
      <c r="AF14" s="79" t="s">
        <v>47</v>
      </c>
      <c r="AG14" s="79" t="b">
        <v>1</v>
      </c>
      <c r="AH14" s="79" t="s">
        <v>48</v>
      </c>
      <c r="AI14" s="79" t="s">
        <v>998</v>
      </c>
      <c r="AJ14" s="79" t="s">
        <v>49</v>
      </c>
      <c r="AK14" s="79" t="s">
        <v>999</v>
      </c>
      <c r="AL14" s="79" t="s">
        <v>50</v>
      </c>
      <c r="AM14" s="79" t="s">
        <v>1000</v>
      </c>
      <c r="AN14" s="79" t="s">
        <v>51</v>
      </c>
      <c r="AO14" s="79" t="b">
        <v>0</v>
      </c>
      <c r="AP14" s="79" t="s">
        <v>52</v>
      </c>
      <c r="AQ14" s="79" t="s">
        <v>539</v>
      </c>
      <c r="AR14" s="79" t="s">
        <v>53</v>
      </c>
      <c r="AS14" s="79" t="s">
        <v>550</v>
      </c>
      <c r="AT14" s="79" t="s">
        <v>54</v>
      </c>
      <c r="AU14" s="79" t="s">
        <v>552</v>
      </c>
      <c r="AV14" s="79" t="s">
        <v>55</v>
      </c>
      <c r="AW14" s="79" t="b">
        <v>1</v>
      </c>
      <c r="AX14" s="73" t="s">
        <v>56</v>
      </c>
      <c r="AZ14" s="73" t="s">
        <v>57</v>
      </c>
      <c r="BB14" s="73" t="s">
        <v>58</v>
      </c>
      <c r="BD14" s="73" t="s">
        <v>59</v>
      </c>
      <c r="BF14" s="73" t="s">
        <v>60</v>
      </c>
      <c r="BH14" s="73" t="s">
        <v>61</v>
      </c>
      <c r="BJ14" s="73" t="s">
        <v>62</v>
      </c>
      <c r="BL14" s="73" t="s">
        <v>63</v>
      </c>
    </row>
    <row r="15" spans="1:64">
      <c r="A15" s="72" t="s">
        <v>399</v>
      </c>
      <c r="B15" s="73" t="s">
        <v>392</v>
      </c>
      <c r="C15" s="73">
        <v>1</v>
      </c>
      <c r="D15" s="73" t="s">
        <v>393</v>
      </c>
      <c r="E15" s="73">
        <v>82</v>
      </c>
      <c r="F15" s="73" t="s">
        <v>396</v>
      </c>
      <c r="G15" s="73" t="s">
        <v>1257</v>
      </c>
      <c r="H15" s="73" t="s">
        <v>397</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activeCell="B14" sqref="B14"/>
    </sheetView>
  </sheetViews>
  <sheetFormatPr defaultRowHeight="15.75"/>
  <cols>
    <col min="1" max="1" width="5.875" style="99" customWidth="1"/>
    <col min="2" max="2" width="29.875" style="121" customWidth="1"/>
    <col min="3" max="3" width="1.25" style="99" customWidth="1"/>
    <col min="4" max="11" width="9" style="99"/>
    <col min="12" max="12" width="19.5" style="99" customWidth="1"/>
    <col min="13" max="21" width="9" style="99"/>
    <col min="22" max="22" width="0" style="99" hidden="1" customWidth="1"/>
    <col min="23" max="26" width="9" style="99"/>
    <col min="27" max="27" width="0" style="99" hidden="1" customWidth="1"/>
    <col min="28" max="16384" width="9" style="99"/>
  </cols>
  <sheetData>
    <row r="1" spans="1:13" ht="20.25" customHeight="1">
      <c r="A1" s="269" t="s">
        <v>1272</v>
      </c>
      <c r="B1" s="270"/>
      <c r="C1" s="270"/>
      <c r="D1" s="270"/>
      <c r="E1" s="270"/>
      <c r="F1" s="270"/>
      <c r="G1" s="270"/>
      <c r="H1" s="204"/>
      <c r="I1" s="204"/>
      <c r="J1" s="262" t="s">
        <v>1387</v>
      </c>
      <c r="K1" s="263"/>
      <c r="L1" s="263"/>
      <c r="M1" s="205"/>
    </row>
    <row r="2" spans="1:13" s="100" customFormat="1" ht="33.75" customHeight="1">
      <c r="A2" s="271"/>
      <c r="B2" s="272"/>
      <c r="C2" s="272"/>
      <c r="D2" s="272"/>
      <c r="E2" s="272"/>
      <c r="F2" s="272"/>
      <c r="G2" s="272"/>
      <c r="H2" s="267" t="s">
        <v>1388</v>
      </c>
      <c r="I2" s="268"/>
      <c r="J2" s="268"/>
      <c r="K2" s="268"/>
      <c r="L2" s="268"/>
      <c r="M2" s="206"/>
    </row>
    <row r="4" spans="1:13" ht="17.25" customHeight="1">
      <c r="B4" s="264" t="s">
        <v>1273</v>
      </c>
      <c r="C4" s="264"/>
      <c r="D4" s="264"/>
      <c r="E4" s="264"/>
      <c r="F4" s="264"/>
      <c r="G4" s="264"/>
      <c r="H4" s="264"/>
      <c r="I4" s="264"/>
      <c r="J4" s="264"/>
      <c r="K4" s="264"/>
      <c r="L4" s="264"/>
    </row>
    <row r="5" spans="1:13" ht="27.75" customHeight="1">
      <c r="B5" s="264"/>
      <c r="C5" s="264"/>
      <c r="D5" s="264"/>
      <c r="E5" s="264"/>
      <c r="F5" s="264"/>
      <c r="G5" s="264"/>
      <c r="H5" s="264"/>
      <c r="I5" s="264"/>
      <c r="J5" s="264"/>
      <c r="K5" s="264"/>
      <c r="L5" s="264"/>
    </row>
    <row r="6" spans="1:13" s="100" customFormat="1" ht="12.75">
      <c r="B6" s="101"/>
    </row>
    <row r="7" spans="1:13" s="100" customFormat="1" ht="18.75">
      <c r="B7" s="102" t="s">
        <v>1274</v>
      </c>
      <c r="D7" s="103"/>
    </row>
    <row r="8" spans="1:13" s="100" customFormat="1" ht="7.5" customHeight="1">
      <c r="B8" s="101"/>
    </row>
    <row r="9" spans="1:13" s="100" customFormat="1" ht="34.5" customHeight="1" thickBot="1">
      <c r="A9" s="104"/>
      <c r="B9" s="105" t="s">
        <v>530</v>
      </c>
      <c r="C9" s="104"/>
      <c r="D9" s="266" t="s">
        <v>1088</v>
      </c>
      <c r="E9" s="266"/>
      <c r="F9" s="266"/>
      <c r="G9" s="266"/>
      <c r="H9" s="266"/>
      <c r="I9" s="266"/>
      <c r="J9" s="266"/>
      <c r="K9" s="266"/>
      <c r="L9" s="266"/>
    </row>
    <row r="10" spans="1:13" s="100" customFormat="1" ht="27.75" customHeight="1" thickTop="1" thickBot="1">
      <c r="A10" s="104"/>
      <c r="B10" s="106" t="s">
        <v>531</v>
      </c>
      <c r="C10" s="104"/>
      <c r="D10" s="266" t="s">
        <v>1275</v>
      </c>
      <c r="E10" s="266"/>
      <c r="F10" s="266"/>
      <c r="G10" s="266"/>
      <c r="H10" s="266"/>
      <c r="I10" s="266"/>
      <c r="J10" s="266"/>
      <c r="K10" s="266"/>
      <c r="L10" s="266"/>
    </row>
    <row r="11" spans="1:13" s="100" customFormat="1" ht="27.75" customHeight="1" thickTop="1" thickBot="1">
      <c r="A11" s="104"/>
      <c r="B11" s="107" t="s">
        <v>532</v>
      </c>
      <c r="C11" s="104"/>
      <c r="D11" s="266" t="s">
        <v>1276</v>
      </c>
      <c r="E11" s="266"/>
      <c r="F11" s="266"/>
      <c r="G11" s="266"/>
      <c r="H11" s="266"/>
      <c r="I11" s="266"/>
      <c r="J11" s="266"/>
      <c r="K11" s="266"/>
      <c r="L11" s="266"/>
    </row>
    <row r="12" spans="1:13" s="100" customFormat="1" ht="27.75" customHeight="1" thickTop="1" thickBot="1">
      <c r="A12" s="104"/>
      <c r="B12" s="108" t="s">
        <v>533</v>
      </c>
      <c r="C12" s="104"/>
      <c r="D12" s="266" t="s">
        <v>1277</v>
      </c>
      <c r="E12" s="266"/>
      <c r="F12" s="266"/>
      <c r="G12" s="266"/>
      <c r="H12" s="266"/>
      <c r="I12" s="266"/>
      <c r="J12" s="266"/>
      <c r="K12" s="266"/>
      <c r="L12" s="266"/>
    </row>
    <row r="13" spans="1:13" s="100" customFormat="1" ht="27.75" customHeight="1" thickTop="1" thickBot="1">
      <c r="A13" s="104"/>
      <c r="B13" s="109" t="s">
        <v>1061</v>
      </c>
      <c r="C13" s="104"/>
      <c r="D13" s="266" t="s">
        <v>1129</v>
      </c>
      <c r="E13" s="266"/>
      <c r="F13" s="266"/>
      <c r="G13" s="266"/>
      <c r="H13" s="266"/>
      <c r="I13" s="266"/>
      <c r="J13" s="266"/>
      <c r="K13" s="266"/>
      <c r="L13" s="266"/>
    </row>
    <row r="14" spans="1:13" s="100" customFormat="1" ht="27.75" customHeight="1" thickTop="1" thickBot="1">
      <c r="A14" s="104"/>
      <c r="B14" s="109" t="s">
        <v>1001</v>
      </c>
      <c r="C14" s="104"/>
      <c r="D14" s="265" t="s">
        <v>1278</v>
      </c>
      <c r="E14" s="265"/>
      <c r="F14" s="265"/>
      <c r="G14" s="265"/>
      <c r="H14" s="265"/>
      <c r="I14" s="265"/>
      <c r="J14" s="265"/>
      <c r="K14" s="265"/>
      <c r="L14" s="265"/>
    </row>
    <row r="15" spans="1:13" s="100" customFormat="1" ht="27.75" customHeight="1" thickTop="1" thickBot="1">
      <c r="A15" s="104"/>
      <c r="B15" s="110" t="s">
        <v>534</v>
      </c>
      <c r="C15" s="104"/>
      <c r="D15" s="266" t="s">
        <v>1279</v>
      </c>
      <c r="E15" s="266"/>
      <c r="F15" s="266"/>
      <c r="G15" s="266"/>
      <c r="H15" s="266"/>
      <c r="I15" s="266"/>
      <c r="J15" s="266"/>
      <c r="K15" s="266"/>
      <c r="L15" s="266"/>
    </row>
    <row r="16" spans="1:13" ht="16.5" thickTop="1">
      <c r="A16" s="111"/>
      <c r="B16" s="112"/>
      <c r="C16" s="111"/>
      <c r="D16" s="113"/>
      <c r="E16" s="113"/>
      <c r="F16" s="113"/>
      <c r="G16" s="113"/>
      <c r="H16" s="113"/>
      <c r="I16" s="113"/>
      <c r="J16" s="113"/>
      <c r="K16" s="113"/>
      <c r="L16" s="113"/>
    </row>
    <row r="17" spans="2:12" s="100" customFormat="1" ht="18.75">
      <c r="B17" s="102" t="s">
        <v>1280</v>
      </c>
      <c r="D17" s="103"/>
    </row>
    <row r="18" spans="2:12" s="100" customFormat="1" ht="5.25" customHeight="1">
      <c r="B18" s="114"/>
      <c r="D18" s="103"/>
    </row>
    <row r="19" spans="2:12" s="100" customFormat="1" ht="24.75" customHeight="1" thickBot="1">
      <c r="B19" s="115" t="s">
        <v>1281</v>
      </c>
      <c r="D19" s="260" t="s">
        <v>1291</v>
      </c>
      <c r="E19" s="260"/>
      <c r="F19" s="260"/>
      <c r="G19" s="260"/>
      <c r="H19" s="260"/>
      <c r="I19" s="260"/>
      <c r="J19" s="260"/>
      <c r="K19" s="260"/>
      <c r="L19" s="122" t="s">
        <v>1115</v>
      </c>
    </row>
    <row r="20" spans="2:12" s="100" customFormat="1" ht="41.25" customHeight="1" thickTop="1" thickBot="1">
      <c r="B20" s="115" t="s">
        <v>1282</v>
      </c>
      <c r="D20" s="260" t="s">
        <v>1292</v>
      </c>
      <c r="E20" s="260"/>
      <c r="F20" s="260"/>
      <c r="G20" s="260"/>
      <c r="H20" s="260"/>
      <c r="I20" s="260"/>
      <c r="J20" s="260"/>
      <c r="K20" s="260"/>
      <c r="L20" s="122" t="s">
        <v>1115</v>
      </c>
    </row>
    <row r="21" spans="2:12" s="100" customFormat="1" ht="37.5" customHeight="1" thickTop="1" thickBot="1">
      <c r="B21" s="115" t="s">
        <v>1283</v>
      </c>
      <c r="D21" s="260" t="s">
        <v>1293</v>
      </c>
      <c r="E21" s="260"/>
      <c r="F21" s="260"/>
      <c r="G21" s="260"/>
      <c r="H21" s="260"/>
      <c r="I21" s="260"/>
      <c r="J21" s="260"/>
      <c r="K21" s="260"/>
      <c r="L21" s="122" t="s">
        <v>1115</v>
      </c>
    </row>
    <row r="22" spans="2:12" s="100" customFormat="1" ht="41.25" customHeight="1" thickTop="1" thickBot="1">
      <c r="B22" s="115" t="s">
        <v>1284</v>
      </c>
      <c r="D22" s="260" t="s">
        <v>1294</v>
      </c>
      <c r="E22" s="260"/>
      <c r="F22" s="260"/>
      <c r="G22" s="260"/>
      <c r="H22" s="260"/>
      <c r="I22" s="260"/>
      <c r="J22" s="260"/>
      <c r="K22" s="260"/>
      <c r="L22" s="122" t="s">
        <v>1115</v>
      </c>
    </row>
    <row r="23" spans="2:12" s="100" customFormat="1" ht="36" customHeight="1" thickTop="1" thickBot="1">
      <c r="B23" s="115" t="s">
        <v>1285</v>
      </c>
      <c r="D23" s="260" t="s">
        <v>1145</v>
      </c>
      <c r="E23" s="260"/>
      <c r="F23" s="260"/>
      <c r="G23" s="260"/>
      <c r="H23" s="260"/>
      <c r="I23" s="260"/>
      <c r="J23" s="260"/>
      <c r="K23" s="260"/>
      <c r="L23" s="122" t="s">
        <v>1115</v>
      </c>
    </row>
    <row r="24" spans="2:12" s="100" customFormat="1" ht="52.5" customHeight="1" thickTop="1" thickBot="1">
      <c r="B24" s="115" t="s">
        <v>1286</v>
      </c>
      <c r="D24" s="260" t="s">
        <v>1295</v>
      </c>
      <c r="E24" s="260"/>
      <c r="F24" s="260"/>
      <c r="G24" s="260"/>
      <c r="H24" s="260"/>
      <c r="I24" s="260"/>
      <c r="J24" s="260"/>
      <c r="K24" s="260"/>
      <c r="L24" s="122" t="s">
        <v>1115</v>
      </c>
    </row>
    <row r="25" spans="2:12" s="100" customFormat="1" ht="57" customHeight="1" thickTop="1" thickBot="1">
      <c r="B25" s="115" t="s">
        <v>1361</v>
      </c>
      <c r="D25" s="260" t="s">
        <v>1296</v>
      </c>
      <c r="E25" s="260"/>
      <c r="F25" s="260"/>
      <c r="G25" s="260"/>
      <c r="H25" s="260"/>
      <c r="I25" s="260"/>
      <c r="J25" s="260"/>
      <c r="K25" s="260"/>
      <c r="L25" s="122" t="s">
        <v>1115</v>
      </c>
    </row>
    <row r="26" spans="2:12" s="100" customFormat="1" ht="48.75" customHeight="1" thickTop="1" thickBot="1">
      <c r="B26" s="115" t="s">
        <v>1287</v>
      </c>
      <c r="D26" s="260" t="s">
        <v>1297</v>
      </c>
      <c r="E26" s="260"/>
      <c r="F26" s="260"/>
      <c r="G26" s="260"/>
      <c r="H26" s="260"/>
      <c r="I26" s="260"/>
      <c r="J26" s="260"/>
      <c r="K26" s="260"/>
      <c r="L26" s="122" t="s">
        <v>1115</v>
      </c>
    </row>
    <row r="27" spans="2:12" s="100" customFormat="1" ht="43.5" customHeight="1" thickTop="1" thickBot="1">
      <c r="B27" s="115" t="s">
        <v>1288</v>
      </c>
      <c r="D27" s="260" t="s">
        <v>1298</v>
      </c>
      <c r="E27" s="260"/>
      <c r="F27" s="260"/>
      <c r="G27" s="260"/>
      <c r="H27" s="260"/>
      <c r="I27" s="260"/>
      <c r="J27" s="260"/>
      <c r="K27" s="260"/>
      <c r="L27" s="122" t="s">
        <v>1115</v>
      </c>
    </row>
    <row r="28" spans="2:12" s="100" customFormat="1" ht="43.5" customHeight="1" thickTop="1" thickBot="1">
      <c r="B28" s="115" t="s">
        <v>1289</v>
      </c>
      <c r="D28" s="260" t="s">
        <v>1299</v>
      </c>
      <c r="E28" s="260"/>
      <c r="F28" s="260"/>
      <c r="G28" s="260"/>
      <c r="H28" s="260"/>
      <c r="I28" s="260"/>
      <c r="J28" s="260"/>
      <c r="K28" s="260"/>
      <c r="L28" s="122" t="s">
        <v>1115</v>
      </c>
    </row>
    <row r="29" spans="2:12" s="100" customFormat="1" ht="50.25" customHeight="1" thickTop="1" thickBot="1">
      <c r="B29" s="115" t="s">
        <v>533</v>
      </c>
      <c r="D29" s="260" t="s">
        <v>1151</v>
      </c>
      <c r="E29" s="260"/>
      <c r="F29" s="260"/>
      <c r="G29" s="260"/>
      <c r="H29" s="260"/>
      <c r="I29" s="260"/>
      <c r="J29" s="260"/>
      <c r="K29" s="260"/>
      <c r="L29" s="122" t="s">
        <v>1115</v>
      </c>
    </row>
    <row r="30" spans="2:12" s="100" customFormat="1" ht="57.75" customHeight="1" thickTop="1" thickBot="1">
      <c r="B30" s="115" t="s">
        <v>1113</v>
      </c>
      <c r="D30" s="260" t="s">
        <v>1300</v>
      </c>
      <c r="E30" s="260"/>
      <c r="F30" s="260"/>
      <c r="G30" s="260"/>
      <c r="H30" s="260"/>
      <c r="I30" s="260"/>
      <c r="J30" s="260"/>
      <c r="K30" s="260"/>
      <c r="L30" s="122" t="s">
        <v>1115</v>
      </c>
    </row>
    <row r="31" spans="2:12" s="100" customFormat="1" ht="67.5" customHeight="1" thickTop="1" thickBot="1">
      <c r="B31" s="115" t="s">
        <v>1290</v>
      </c>
      <c r="D31" s="260" t="s">
        <v>1153</v>
      </c>
      <c r="E31" s="260"/>
      <c r="F31" s="260"/>
      <c r="G31" s="260"/>
      <c r="H31" s="260"/>
      <c r="I31" s="260"/>
      <c r="J31" s="260"/>
      <c r="K31" s="260"/>
      <c r="L31" s="122" t="s">
        <v>1115</v>
      </c>
    </row>
    <row r="32" spans="2:12" s="100" customFormat="1" thickTop="1">
      <c r="B32" s="116"/>
      <c r="D32" s="103"/>
      <c r="L32" s="104"/>
    </row>
    <row r="33" spans="2:12" s="100" customFormat="1" ht="18.75" customHeight="1">
      <c r="B33" s="117" t="s">
        <v>1391</v>
      </c>
      <c r="C33" s="118"/>
      <c r="D33" s="119"/>
      <c r="E33" s="118"/>
      <c r="F33" s="118"/>
      <c r="G33" s="118"/>
      <c r="H33" s="118"/>
      <c r="I33" s="118"/>
      <c r="J33" s="118"/>
      <c r="K33" s="118"/>
      <c r="L33" s="120"/>
    </row>
    <row r="34" spans="2:12" s="100" customFormat="1" ht="59.25" customHeight="1">
      <c r="B34" s="261" t="s">
        <v>1301</v>
      </c>
      <c r="C34" s="261"/>
      <c r="D34" s="261"/>
      <c r="E34" s="261"/>
      <c r="F34" s="261"/>
      <c r="G34" s="261"/>
      <c r="H34" s="261"/>
      <c r="I34" s="261"/>
      <c r="J34" s="261"/>
      <c r="K34" s="261"/>
      <c r="L34" s="261"/>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en/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OL8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54" hidden="1" customWidth="1"/>
    <col min="2" max="2" width="9" style="154" hidden="1" customWidth="1"/>
    <col min="3" max="3" width="8.375" style="154" hidden="1" customWidth="1"/>
    <col min="4" max="4" width="12.75" style="155" customWidth="1"/>
    <col min="5" max="13" width="2.75" style="156" customWidth="1"/>
    <col min="14" max="14" width="4.5" style="156" bestFit="1" customWidth="1"/>
    <col min="15" max="15" width="5.25" style="156" bestFit="1" customWidth="1"/>
    <col min="16" max="17" width="9.875" style="157" bestFit="1" customWidth="1"/>
    <col min="18" max="18" width="7.625" style="158" hidden="1" customWidth="1"/>
    <col min="19" max="19" width="6.375" style="159" bestFit="1" customWidth="1"/>
    <col min="20" max="20" width="4.875" style="159" bestFit="1" customWidth="1"/>
    <col min="21" max="21" width="5.875" style="159" bestFit="1" customWidth="1"/>
    <col min="22" max="22" width="5" style="159" bestFit="1" customWidth="1"/>
    <col min="23" max="24" width="9.75" style="157" hidden="1" customWidth="1"/>
    <col min="25" max="25" width="7.5" style="160" hidden="1" customWidth="1"/>
    <col min="26" max="26" width="6" style="161" hidden="1" customWidth="1"/>
    <col min="27" max="27" width="6.125" style="159" hidden="1" customWidth="1"/>
    <col min="28" max="28" width="11" style="158" bestFit="1" customWidth="1"/>
    <col min="29" max="29" width="10.25" style="162" bestFit="1" customWidth="1"/>
    <col min="30" max="30" width="7.75" style="163" bestFit="1" customWidth="1"/>
    <col min="31" max="31" width="7.25" style="164" customWidth="1"/>
    <col min="32" max="402" width="1.875" style="142" customWidth="1"/>
    <col min="403" max="16384" width="10" style="142"/>
  </cols>
  <sheetData>
    <row r="1" spans="1:402" s="126" customFormat="1" ht="20.100000000000001" customHeight="1">
      <c r="A1" s="170"/>
      <c r="B1" s="171"/>
      <c r="C1" s="172"/>
      <c r="D1" s="173" t="str">
        <f ca="1">xlgantt.ProjectName()</f>
        <v>XYZ시스템 구축</v>
      </c>
      <c r="E1" s="174"/>
      <c r="F1" s="174"/>
      <c r="G1" s="174"/>
      <c r="H1" s="174"/>
      <c r="I1" s="174"/>
      <c r="J1" s="174"/>
      <c r="K1" s="174"/>
      <c r="L1" s="174"/>
      <c r="M1" s="174"/>
      <c r="N1" s="174"/>
      <c r="O1" s="174"/>
      <c r="P1" s="174"/>
      <c r="Q1" s="175"/>
      <c r="R1" s="176"/>
      <c r="S1" s="177"/>
      <c r="T1" s="178"/>
      <c r="U1" s="179"/>
      <c r="V1" s="179"/>
      <c r="W1" s="180"/>
      <c r="X1" s="180"/>
      <c r="Y1" s="171"/>
      <c r="Z1" s="181"/>
      <c r="AA1" s="182"/>
      <c r="AB1" s="183"/>
      <c r="AC1" s="184"/>
      <c r="AD1" s="185"/>
      <c r="AE1" s="186" t="str" cm="1">
        <f t="array" aca="1" ref="AE1" ca="1">xlgantt.ProjectProgressString()</f>
        <v>2021-01-01~2021-12-31 [계획:8.30% 실적:0.00%]</v>
      </c>
      <c r="AF1" s="192" t="s">
        <v>1368</v>
      </c>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c r="BE1" s="125"/>
      <c r="BF1" s="125"/>
      <c r="BG1" s="125"/>
      <c r="BH1" s="125"/>
      <c r="BI1" s="125"/>
      <c r="BJ1" s="125"/>
    </row>
    <row r="2" spans="1:402" s="126" customFormat="1" ht="15" customHeight="1">
      <c r="A2" s="170"/>
      <c r="B2" s="170"/>
      <c r="C2" s="172"/>
      <c r="D2" s="276"/>
      <c r="E2" s="276"/>
      <c r="F2" s="276"/>
      <c r="G2" s="187"/>
      <c r="H2" s="188"/>
      <c r="I2" s="187"/>
      <c r="J2" s="187"/>
      <c r="K2" s="187"/>
      <c r="L2" s="187"/>
      <c r="M2" s="187"/>
      <c r="N2" s="187"/>
      <c r="O2" s="187"/>
      <c r="P2" s="187"/>
      <c r="Q2" s="187"/>
      <c r="R2" s="187"/>
      <c r="S2" s="189"/>
      <c r="T2" s="189"/>
      <c r="U2" s="189"/>
      <c r="V2" s="189"/>
      <c r="W2" s="187"/>
      <c r="X2" s="187"/>
      <c r="Y2" s="187"/>
      <c r="Z2" s="187"/>
      <c r="AA2" s="187"/>
      <c r="AB2" s="187"/>
      <c r="AC2" s="190"/>
      <c r="AD2" s="191"/>
      <c r="AE2" s="187" t="str" cm="1">
        <f t="array" aca="1" ref="AE2" ca="1">xlgantt.CommentOnHeadArea()</f>
        <v>별(*)표시는 필수입력</v>
      </c>
      <c r="AF2" s="275" t="s">
        <v>1227</v>
      </c>
      <c r="AG2" s="275"/>
      <c r="AH2" s="275"/>
      <c r="AI2" s="275"/>
      <c r="AJ2" s="275" t="s">
        <v>1249</v>
      </c>
      <c r="AK2" s="275"/>
      <c r="AL2" s="275"/>
      <c r="AM2" s="275"/>
      <c r="AN2" s="275" t="s">
        <v>1250</v>
      </c>
      <c r="AO2" s="275"/>
      <c r="AP2" s="275"/>
      <c r="AQ2" s="275"/>
      <c r="AR2" s="275" t="s">
        <v>1251</v>
      </c>
      <c r="AS2" s="275"/>
      <c r="AT2" s="275"/>
      <c r="AU2" s="275"/>
      <c r="AV2" s="275" t="s">
        <v>1252</v>
      </c>
      <c r="AW2" s="275"/>
      <c r="AX2" s="275"/>
      <c r="AY2" s="275"/>
      <c r="AZ2" s="275" t="s">
        <v>1253</v>
      </c>
      <c r="BA2" s="275"/>
      <c r="BB2" s="275"/>
      <c r="BC2" s="275"/>
      <c r="BD2" s="275" t="s">
        <v>1407</v>
      </c>
      <c r="BE2" s="275"/>
      <c r="BF2" s="275"/>
      <c r="BG2" s="275"/>
      <c r="BH2" s="275" t="s">
        <v>1408</v>
      </c>
      <c r="BI2" s="275"/>
      <c r="BJ2" s="275"/>
      <c r="BK2" s="275"/>
      <c r="BL2" s="275" t="s">
        <v>1409</v>
      </c>
      <c r="BM2" s="275"/>
      <c r="BN2" s="275"/>
      <c r="BO2" s="275"/>
      <c r="BP2" s="275" t="s">
        <v>1410</v>
      </c>
      <c r="BQ2" s="275"/>
      <c r="BR2" s="275"/>
      <c r="BS2" s="275"/>
      <c r="BT2" s="275" t="s">
        <v>1411</v>
      </c>
      <c r="BU2" s="275"/>
      <c r="BV2" s="275"/>
      <c r="BW2" s="275"/>
      <c r="BX2" s="275" t="s">
        <v>1412</v>
      </c>
      <c r="BY2" s="275"/>
      <c r="BZ2" s="275"/>
      <c r="CA2" s="275"/>
      <c r="CB2" s="275" t="s">
        <v>1413</v>
      </c>
      <c r="CC2" s="275"/>
      <c r="CD2" s="275"/>
      <c r="CE2" s="275"/>
      <c r="CF2" s="275" t="s">
        <v>1414</v>
      </c>
      <c r="CG2" s="275"/>
      <c r="CH2" s="275"/>
      <c r="CI2" s="275"/>
      <c r="CJ2" s="259"/>
      <c r="CK2" s="259"/>
      <c r="CL2" s="259"/>
      <c r="CM2" s="259"/>
      <c r="CN2" s="259"/>
      <c r="CO2" s="259"/>
      <c r="CP2" s="259"/>
      <c r="CQ2" s="259"/>
      <c r="CR2" s="259"/>
      <c r="CS2" s="259"/>
      <c r="CT2" s="259"/>
      <c r="CU2" s="259"/>
      <c r="CV2" s="259"/>
      <c r="CW2" s="259"/>
      <c r="CX2" s="259"/>
      <c r="CY2" s="259"/>
      <c r="CZ2" s="259"/>
      <c r="DA2" s="259"/>
      <c r="DB2" s="259"/>
      <c r="DC2" s="259"/>
      <c r="DD2" s="259"/>
      <c r="DE2" s="259"/>
      <c r="DF2" s="259"/>
      <c r="DG2" s="259"/>
      <c r="DH2" s="259"/>
      <c r="DI2" s="259"/>
      <c r="DJ2" s="259"/>
      <c r="DK2" s="259"/>
      <c r="DL2" s="259"/>
      <c r="DM2" s="259"/>
      <c r="DN2" s="259"/>
      <c r="DO2" s="259"/>
      <c r="DP2" s="259"/>
      <c r="DQ2" s="259"/>
      <c r="DR2" s="259"/>
      <c r="DS2" s="259"/>
      <c r="DT2" s="259"/>
      <c r="DU2" s="259"/>
      <c r="DV2" s="259"/>
      <c r="DW2" s="259"/>
      <c r="DX2" s="259"/>
      <c r="DY2" s="259"/>
      <c r="DZ2" s="259"/>
      <c r="EA2" s="259"/>
      <c r="EB2" s="259"/>
      <c r="EC2" s="259"/>
      <c r="ED2" s="259"/>
      <c r="EE2" s="259"/>
      <c r="EF2" s="259"/>
      <c r="EG2" s="259"/>
      <c r="EH2" s="259"/>
      <c r="EI2" s="259"/>
      <c r="EJ2" s="259"/>
      <c r="EK2" s="259"/>
      <c r="EL2" s="259"/>
      <c r="EM2" s="259"/>
      <c r="EN2" s="259"/>
      <c r="EO2" s="259"/>
      <c r="EP2" s="259"/>
      <c r="EQ2" s="259"/>
      <c r="ER2" s="259"/>
      <c r="ES2" s="259"/>
      <c r="ET2" s="259"/>
      <c r="EU2" s="259"/>
      <c r="EV2" s="259"/>
      <c r="EW2" s="259"/>
      <c r="EX2" s="259"/>
      <c r="EY2" s="259"/>
      <c r="EZ2" s="259"/>
      <c r="FA2" s="259"/>
      <c r="FB2" s="259"/>
      <c r="FC2" s="259"/>
      <c r="FD2" s="259"/>
      <c r="FE2" s="259"/>
      <c r="FF2" s="259"/>
      <c r="FG2" s="259"/>
      <c r="FH2" s="259"/>
      <c r="FI2" s="259"/>
      <c r="FJ2" s="259"/>
      <c r="FK2" s="259"/>
      <c r="FL2" s="259"/>
      <c r="FM2" s="259"/>
      <c r="FN2" s="259"/>
      <c r="FO2" s="259"/>
      <c r="FP2" s="259"/>
      <c r="FQ2" s="259"/>
      <c r="FR2" s="259"/>
      <c r="FS2" s="259"/>
      <c r="FT2" s="259"/>
      <c r="FU2" s="259"/>
      <c r="FV2" s="259"/>
      <c r="FW2" s="259"/>
      <c r="FX2" s="259"/>
      <c r="FY2" s="259"/>
      <c r="FZ2" s="259"/>
      <c r="GA2" s="259"/>
      <c r="GB2" s="259"/>
      <c r="GC2" s="259"/>
      <c r="GD2" s="259"/>
      <c r="GE2" s="259"/>
      <c r="GF2" s="259"/>
      <c r="GG2" s="259"/>
      <c r="GH2" s="259"/>
      <c r="GI2" s="259"/>
      <c r="GJ2" s="259"/>
      <c r="GK2" s="259"/>
      <c r="GL2" s="259"/>
      <c r="GM2" s="259"/>
      <c r="GN2" s="259"/>
      <c r="GO2" s="259"/>
      <c r="GP2" s="259"/>
      <c r="GQ2" s="259"/>
      <c r="GR2" s="259"/>
      <c r="GS2" s="259"/>
      <c r="GT2" s="259"/>
      <c r="GU2" s="259"/>
      <c r="GV2" s="259"/>
      <c r="GW2" s="259"/>
      <c r="GX2" s="259"/>
      <c r="GY2" s="259"/>
      <c r="GZ2" s="259"/>
      <c r="HA2" s="259"/>
      <c r="HB2" s="259"/>
      <c r="HC2" s="259"/>
      <c r="HD2" s="259"/>
      <c r="HE2" s="259"/>
      <c r="HF2" s="259"/>
      <c r="HG2" s="259"/>
      <c r="HH2" s="259"/>
      <c r="HI2" s="259"/>
      <c r="HJ2" s="259"/>
      <c r="HK2" s="259"/>
      <c r="HL2" s="259"/>
      <c r="HM2" s="259"/>
      <c r="HN2" s="259"/>
      <c r="HO2" s="259"/>
      <c r="HP2" s="259"/>
      <c r="HQ2" s="259"/>
      <c r="HR2" s="259"/>
      <c r="HS2" s="259"/>
      <c r="HT2" s="259"/>
      <c r="HU2" s="259"/>
      <c r="HV2" s="259"/>
      <c r="HW2" s="259"/>
      <c r="HX2" s="259"/>
      <c r="HY2" s="259"/>
      <c r="HZ2" s="259"/>
      <c r="IA2" s="259"/>
      <c r="IB2" s="259"/>
      <c r="IC2" s="259"/>
      <c r="ID2" s="259"/>
      <c r="IE2" s="259"/>
      <c r="IF2" s="259"/>
      <c r="IG2" s="259"/>
      <c r="IH2" s="259"/>
      <c r="II2" s="259"/>
      <c r="IJ2" s="259"/>
      <c r="IK2" s="259"/>
      <c r="IL2" s="259"/>
      <c r="IM2" s="259"/>
      <c r="IN2" s="259"/>
      <c r="IO2" s="259"/>
      <c r="IP2" s="259"/>
      <c r="IQ2" s="259"/>
      <c r="IR2" s="259"/>
      <c r="IS2" s="259"/>
      <c r="IT2" s="259"/>
      <c r="IU2" s="259"/>
      <c r="IV2" s="259"/>
      <c r="IW2" s="259"/>
      <c r="IX2" s="259"/>
      <c r="IY2" s="259"/>
      <c r="IZ2" s="259"/>
      <c r="JA2" s="259"/>
      <c r="JB2" s="259"/>
      <c r="JC2" s="259"/>
      <c r="JD2" s="259"/>
      <c r="JE2" s="259"/>
      <c r="JF2" s="259"/>
      <c r="JG2" s="259"/>
      <c r="JH2" s="259"/>
      <c r="JI2" s="259"/>
      <c r="JJ2" s="259"/>
      <c r="JK2" s="259"/>
      <c r="JL2" s="259"/>
      <c r="JM2" s="259"/>
      <c r="JN2" s="259"/>
      <c r="JO2" s="259"/>
      <c r="JP2" s="259"/>
      <c r="JQ2" s="259"/>
      <c r="JR2" s="259"/>
      <c r="JS2" s="259"/>
      <c r="JT2" s="259"/>
      <c r="JU2" s="259"/>
      <c r="JV2" s="259"/>
      <c r="JW2" s="259"/>
      <c r="JX2" s="259"/>
      <c r="JY2" s="259"/>
      <c r="JZ2" s="259"/>
      <c r="KA2" s="259"/>
      <c r="KB2" s="259"/>
      <c r="KC2" s="259"/>
      <c r="KD2" s="259"/>
      <c r="KE2" s="259"/>
      <c r="KF2" s="259"/>
      <c r="KG2" s="259"/>
      <c r="KH2" s="259"/>
      <c r="KI2" s="259"/>
      <c r="KJ2" s="259"/>
      <c r="KK2" s="259"/>
      <c r="KL2" s="259"/>
      <c r="KM2" s="259"/>
      <c r="KN2" s="259"/>
      <c r="KO2" s="259"/>
      <c r="KP2" s="259"/>
      <c r="KQ2" s="259"/>
      <c r="KR2" s="259"/>
      <c r="KS2" s="259"/>
      <c r="KT2" s="259"/>
      <c r="KU2" s="259"/>
      <c r="KV2" s="259"/>
      <c r="KW2" s="259"/>
      <c r="KX2" s="259"/>
      <c r="KY2" s="259"/>
      <c r="KZ2" s="259"/>
      <c r="LA2" s="259"/>
      <c r="LB2" s="259"/>
      <c r="LC2" s="259"/>
      <c r="LD2" s="259"/>
      <c r="LE2" s="259"/>
      <c r="LF2" s="259"/>
      <c r="LG2" s="259"/>
      <c r="LH2" s="259"/>
      <c r="LI2" s="259"/>
      <c r="LJ2" s="259"/>
      <c r="LK2" s="259"/>
      <c r="LL2" s="259"/>
      <c r="LM2" s="259"/>
      <c r="LN2" s="259"/>
      <c r="LO2" s="259"/>
      <c r="LP2" s="259"/>
      <c r="LQ2" s="259"/>
      <c r="LR2" s="259"/>
      <c r="LS2" s="259"/>
      <c r="LT2" s="259"/>
      <c r="LU2" s="259"/>
      <c r="LV2" s="259"/>
      <c r="LW2" s="259"/>
      <c r="LX2" s="259"/>
      <c r="LY2" s="259"/>
      <c r="LZ2" s="259"/>
      <c r="MA2" s="259"/>
      <c r="MB2" s="259"/>
      <c r="MC2" s="259"/>
      <c r="MD2" s="259"/>
      <c r="ME2" s="259"/>
      <c r="MF2" s="259"/>
      <c r="MG2" s="259"/>
      <c r="MH2" s="259"/>
      <c r="MI2" s="259"/>
      <c r="MJ2" s="259"/>
      <c r="MK2" s="259"/>
      <c r="ML2" s="259"/>
      <c r="MM2" s="259"/>
      <c r="MN2" s="259"/>
      <c r="MO2" s="259"/>
      <c r="MP2" s="259"/>
      <c r="MQ2" s="259"/>
      <c r="MR2" s="259"/>
      <c r="MS2" s="259"/>
      <c r="MT2" s="259"/>
      <c r="MU2" s="259"/>
      <c r="MV2" s="259"/>
      <c r="MW2" s="259"/>
      <c r="MX2" s="259"/>
      <c r="MY2" s="259"/>
      <c r="MZ2" s="259"/>
      <c r="NA2" s="259"/>
      <c r="NB2" s="259"/>
      <c r="NC2" s="259"/>
      <c r="ND2" s="259"/>
      <c r="NE2" s="259"/>
      <c r="NF2" s="259"/>
      <c r="NG2" s="259"/>
      <c r="NH2" s="259"/>
      <c r="NI2" s="259"/>
      <c r="NJ2" s="259"/>
      <c r="NK2" s="259"/>
      <c r="NL2" s="259"/>
      <c r="NM2" s="259"/>
      <c r="NN2" s="259"/>
      <c r="NO2" s="259"/>
      <c r="NP2" s="259"/>
      <c r="NQ2" s="259"/>
      <c r="NR2" s="259"/>
      <c r="NS2" s="259"/>
      <c r="NT2" s="259"/>
      <c r="NU2" s="259"/>
      <c r="NV2" s="259"/>
      <c r="NW2" s="259"/>
      <c r="NX2" s="259"/>
      <c r="NY2" s="259"/>
      <c r="NZ2" s="259"/>
      <c r="OA2" s="259"/>
      <c r="OB2" s="259"/>
      <c r="OC2" s="259"/>
      <c r="OD2" s="259"/>
      <c r="OE2" s="259"/>
      <c r="OF2" s="259"/>
      <c r="OG2" s="259"/>
      <c r="OH2" s="259"/>
      <c r="OI2" s="259"/>
      <c r="OJ2" s="259"/>
      <c r="OK2" s="259"/>
      <c r="OL2" s="259"/>
    </row>
    <row r="3" spans="1:402" s="127" customFormat="1" ht="18.95" customHeight="1">
      <c r="A3" s="298" t="s">
        <v>551</v>
      </c>
      <c r="B3" s="300" t="s">
        <v>546</v>
      </c>
      <c r="C3" s="302" t="s">
        <v>553</v>
      </c>
      <c r="D3" s="303" t="s">
        <v>547</v>
      </c>
      <c r="E3" s="304" t="s">
        <v>1318</v>
      </c>
      <c r="F3" s="305"/>
      <c r="G3" s="305"/>
      <c r="H3" s="305"/>
      <c r="I3" s="305"/>
      <c r="J3" s="305"/>
      <c r="K3" s="305"/>
      <c r="L3" s="305"/>
      <c r="M3" s="305"/>
      <c r="N3" s="305"/>
      <c r="O3" s="277" t="s">
        <v>1319</v>
      </c>
      <c r="P3" s="277" t="s">
        <v>1320</v>
      </c>
      <c r="Q3" s="277" t="s">
        <v>1321</v>
      </c>
      <c r="R3" s="284" t="s">
        <v>1360</v>
      </c>
      <c r="S3" s="279" t="s">
        <v>1322</v>
      </c>
      <c r="T3" s="286" t="s">
        <v>1323</v>
      </c>
      <c r="U3" s="279" t="s">
        <v>1324</v>
      </c>
      <c r="V3" s="279" t="s">
        <v>1325</v>
      </c>
      <c r="W3" s="281" t="s">
        <v>1326</v>
      </c>
      <c r="X3" s="281" t="s">
        <v>1327</v>
      </c>
      <c r="Y3" s="288" t="s">
        <v>1328</v>
      </c>
      <c r="Z3" s="282" t="s">
        <v>1329</v>
      </c>
      <c r="AA3" s="290" t="s">
        <v>1330</v>
      </c>
      <c r="AB3" s="277" t="s">
        <v>1331</v>
      </c>
      <c r="AC3" s="292" t="s">
        <v>1362</v>
      </c>
      <c r="AD3" s="296" t="s">
        <v>1332</v>
      </c>
      <c r="AE3" s="294" t="s">
        <v>1333</v>
      </c>
      <c r="AF3" s="273" t="s">
        <v>1453</v>
      </c>
      <c r="AG3" s="274"/>
      <c r="AH3" s="274"/>
      <c r="AI3" s="274"/>
      <c r="AJ3" s="307" t="s">
        <v>1454</v>
      </c>
      <c r="AK3" s="274"/>
      <c r="AL3" s="274"/>
      <c r="AM3" s="274"/>
      <c r="AN3" s="307" t="s">
        <v>1455</v>
      </c>
      <c r="AO3" s="274"/>
      <c r="AP3" s="274"/>
      <c r="AQ3" s="274"/>
      <c r="AR3" s="307" t="s">
        <v>1456</v>
      </c>
      <c r="AS3" s="274"/>
      <c r="AT3" s="274"/>
      <c r="AU3" s="274"/>
      <c r="AV3" s="307" t="s">
        <v>1457</v>
      </c>
      <c r="AW3" s="274"/>
      <c r="AX3" s="274"/>
      <c r="AY3" s="274"/>
      <c r="AZ3" s="307" t="s">
        <v>1458</v>
      </c>
      <c r="BA3" s="274"/>
      <c r="BB3" s="274"/>
      <c r="BC3" s="274"/>
      <c r="BD3" s="307" t="s">
        <v>1459</v>
      </c>
      <c r="BE3" s="274"/>
      <c r="BF3" s="274"/>
      <c r="BG3" s="274"/>
      <c r="BH3" s="307" t="s">
        <v>1460</v>
      </c>
      <c r="BI3" s="274"/>
      <c r="BJ3" s="274"/>
      <c r="BK3" s="274"/>
      <c r="BL3" s="307" t="s">
        <v>1461</v>
      </c>
      <c r="BM3" s="274"/>
      <c r="BN3" s="274"/>
      <c r="BO3" s="274"/>
      <c r="BP3" s="307" t="s">
        <v>1462</v>
      </c>
      <c r="BQ3" s="274"/>
      <c r="BR3" s="274"/>
      <c r="BS3" s="274"/>
      <c r="BT3" s="307" t="s">
        <v>1463</v>
      </c>
      <c r="BU3" s="274"/>
      <c r="BV3" s="274"/>
      <c r="BW3" s="274"/>
      <c r="BX3" s="307" t="s">
        <v>1464</v>
      </c>
      <c r="BY3" s="274"/>
      <c r="BZ3" s="274"/>
      <c r="CA3" s="274"/>
      <c r="CB3" s="307" t="s">
        <v>1465</v>
      </c>
      <c r="CC3" s="274"/>
      <c r="CD3" s="274"/>
      <c r="CE3" s="274"/>
      <c r="CF3" s="307" t="s">
        <v>1466</v>
      </c>
      <c r="CG3" s="274"/>
      <c r="CH3" s="274"/>
      <c r="CI3" s="308"/>
    </row>
    <row r="4" spans="1:402" s="128" customFormat="1" ht="6" customHeight="1">
      <c r="A4" s="299"/>
      <c r="B4" s="301"/>
      <c r="C4" s="298"/>
      <c r="D4" s="293"/>
      <c r="E4" s="306"/>
      <c r="F4" s="305"/>
      <c r="G4" s="305"/>
      <c r="H4" s="305"/>
      <c r="I4" s="305"/>
      <c r="J4" s="305"/>
      <c r="K4" s="305"/>
      <c r="L4" s="305"/>
      <c r="M4" s="305"/>
      <c r="N4" s="305"/>
      <c r="O4" s="278"/>
      <c r="P4" s="278"/>
      <c r="Q4" s="278"/>
      <c r="R4" s="285"/>
      <c r="S4" s="280"/>
      <c r="T4" s="287"/>
      <c r="U4" s="280"/>
      <c r="V4" s="280"/>
      <c r="W4" s="278"/>
      <c r="X4" s="278"/>
      <c r="Y4" s="289"/>
      <c r="Z4" s="283"/>
      <c r="AA4" s="291"/>
      <c r="AB4" s="278"/>
      <c r="AC4" s="293"/>
      <c r="AD4" s="297"/>
      <c r="AE4" s="295"/>
      <c r="AF4" s="166">
        <v>44192</v>
      </c>
      <c r="AG4" s="167">
        <v>44199</v>
      </c>
      <c r="AH4" s="167">
        <v>44206</v>
      </c>
      <c r="AI4" s="167">
        <v>44213</v>
      </c>
      <c r="AJ4" s="167">
        <v>44220</v>
      </c>
      <c r="AK4" s="167">
        <v>44227</v>
      </c>
      <c r="AL4" s="167">
        <v>44234</v>
      </c>
      <c r="AM4" s="167">
        <v>44241</v>
      </c>
      <c r="AN4" s="167">
        <v>44248</v>
      </c>
      <c r="AO4" s="167">
        <v>44255</v>
      </c>
      <c r="AP4" s="167">
        <v>44262</v>
      </c>
      <c r="AQ4" s="167">
        <v>44269</v>
      </c>
      <c r="AR4" s="167">
        <v>44276</v>
      </c>
      <c r="AS4" s="167">
        <v>44283</v>
      </c>
      <c r="AT4" s="167">
        <v>44290</v>
      </c>
      <c r="AU4" s="167">
        <v>44297</v>
      </c>
      <c r="AV4" s="167">
        <v>44304</v>
      </c>
      <c r="AW4" s="167">
        <v>44311</v>
      </c>
      <c r="AX4" s="167">
        <v>44318</v>
      </c>
      <c r="AY4" s="167">
        <v>44325</v>
      </c>
      <c r="AZ4" s="167">
        <v>44332</v>
      </c>
      <c r="BA4" s="167">
        <v>44339</v>
      </c>
      <c r="BB4" s="167">
        <v>44346</v>
      </c>
      <c r="BC4" s="167">
        <v>44353</v>
      </c>
      <c r="BD4" s="167">
        <v>44360</v>
      </c>
      <c r="BE4" s="167">
        <v>44367</v>
      </c>
      <c r="BF4" s="167">
        <v>44374</v>
      </c>
      <c r="BG4" s="167">
        <v>44381</v>
      </c>
      <c r="BH4" s="167">
        <v>44388</v>
      </c>
      <c r="BI4" s="167">
        <v>44395</v>
      </c>
      <c r="BJ4" s="167">
        <v>44402</v>
      </c>
      <c r="BK4" s="167">
        <v>44409</v>
      </c>
      <c r="BL4" s="167">
        <v>44416</v>
      </c>
      <c r="BM4" s="167">
        <v>44423</v>
      </c>
      <c r="BN4" s="167">
        <v>44430</v>
      </c>
      <c r="BO4" s="167">
        <v>44437</v>
      </c>
      <c r="BP4" s="167">
        <v>44444</v>
      </c>
      <c r="BQ4" s="167">
        <v>44451</v>
      </c>
      <c r="BR4" s="167">
        <v>44458</v>
      </c>
      <c r="BS4" s="167">
        <v>44465</v>
      </c>
      <c r="BT4" s="167">
        <v>44472</v>
      </c>
      <c r="BU4" s="167">
        <v>44479</v>
      </c>
      <c r="BV4" s="167">
        <v>44486</v>
      </c>
      <c r="BW4" s="167">
        <v>44493</v>
      </c>
      <c r="BX4" s="167">
        <v>44500</v>
      </c>
      <c r="BY4" s="167">
        <v>44507</v>
      </c>
      <c r="BZ4" s="167">
        <v>44514</v>
      </c>
      <c r="CA4" s="167">
        <v>44521</v>
      </c>
      <c r="CB4" s="167">
        <v>44528</v>
      </c>
      <c r="CC4" s="167">
        <v>44535</v>
      </c>
      <c r="CD4" s="167">
        <v>44542</v>
      </c>
      <c r="CE4" s="167">
        <v>44549</v>
      </c>
      <c r="CF4" s="167">
        <v>44556</v>
      </c>
      <c r="CG4" s="194"/>
      <c r="CH4" s="194"/>
      <c r="CI4" s="168"/>
      <c r="CJ4" s="169"/>
      <c r="CK4" s="169"/>
      <c r="CL4" s="169"/>
      <c r="CM4" s="169"/>
      <c r="CN4" s="169"/>
      <c r="CO4" s="169"/>
      <c r="CP4" s="169"/>
      <c r="CQ4" s="169"/>
      <c r="CR4" s="169"/>
      <c r="CS4" s="169"/>
      <c r="CT4" s="169"/>
      <c r="CU4" s="169"/>
      <c r="CV4" s="169"/>
      <c r="CW4" s="169"/>
      <c r="CX4" s="169"/>
      <c r="CY4" s="169"/>
      <c r="CZ4" s="169"/>
      <c r="DA4" s="169"/>
      <c r="DB4" s="169"/>
      <c r="DC4" s="169"/>
      <c r="DD4" s="169"/>
      <c r="DE4" s="169"/>
      <c r="DF4" s="169"/>
      <c r="DG4" s="169"/>
      <c r="DH4" s="169"/>
      <c r="DI4" s="169"/>
      <c r="DJ4" s="169"/>
      <c r="DK4" s="169"/>
      <c r="DL4" s="169"/>
      <c r="DM4" s="169"/>
      <c r="DN4" s="169"/>
      <c r="DO4" s="169"/>
      <c r="DP4" s="169"/>
      <c r="DQ4" s="169"/>
      <c r="DR4" s="169"/>
      <c r="DS4" s="169"/>
      <c r="DT4" s="169"/>
      <c r="DU4" s="169"/>
      <c r="DV4" s="169"/>
      <c r="DW4" s="169"/>
      <c r="DX4" s="169"/>
      <c r="DY4" s="169"/>
      <c r="DZ4" s="169"/>
      <c r="EA4" s="169"/>
      <c r="EB4" s="169"/>
      <c r="EC4" s="169"/>
      <c r="ED4" s="169"/>
      <c r="EE4" s="169"/>
      <c r="EF4" s="169"/>
      <c r="EG4" s="169"/>
      <c r="EH4" s="169"/>
      <c r="EI4" s="169"/>
      <c r="EJ4" s="169"/>
      <c r="EK4" s="169"/>
      <c r="EL4" s="169"/>
      <c r="EM4" s="169"/>
      <c r="EN4" s="169"/>
      <c r="EO4" s="169"/>
      <c r="EP4" s="169"/>
      <c r="EQ4" s="169"/>
      <c r="ER4" s="169"/>
      <c r="ES4" s="169"/>
      <c r="ET4" s="169"/>
      <c r="EU4" s="169"/>
      <c r="EV4" s="169"/>
      <c r="EW4" s="169"/>
      <c r="EX4" s="169"/>
      <c r="EY4" s="169"/>
      <c r="EZ4" s="169"/>
      <c r="FA4" s="169"/>
      <c r="FB4" s="169"/>
      <c r="FC4" s="169"/>
      <c r="FD4" s="169"/>
      <c r="FE4" s="169"/>
      <c r="FF4" s="169"/>
      <c r="FG4" s="169"/>
      <c r="FH4" s="169"/>
      <c r="FI4" s="169"/>
      <c r="FJ4" s="169"/>
      <c r="FK4" s="169"/>
      <c r="FL4" s="169"/>
      <c r="FM4" s="169"/>
      <c r="FN4" s="169"/>
      <c r="FO4" s="169"/>
      <c r="FP4" s="169"/>
      <c r="FQ4" s="169"/>
      <c r="FR4" s="169"/>
      <c r="FS4" s="169"/>
      <c r="FT4" s="169"/>
      <c r="FU4" s="169"/>
      <c r="FV4" s="169"/>
      <c r="FW4" s="169"/>
      <c r="FX4" s="169"/>
      <c r="FY4" s="169"/>
      <c r="FZ4" s="169"/>
      <c r="GA4" s="169"/>
      <c r="GB4" s="169"/>
      <c r="GC4" s="169"/>
      <c r="GD4" s="169"/>
      <c r="GE4" s="169"/>
      <c r="GF4" s="169"/>
      <c r="GG4" s="169"/>
      <c r="GH4" s="169"/>
      <c r="GI4" s="169"/>
      <c r="GJ4" s="169"/>
      <c r="GK4" s="169"/>
      <c r="GL4" s="169"/>
      <c r="GM4" s="169"/>
      <c r="GN4" s="169"/>
      <c r="GO4" s="169"/>
      <c r="GP4" s="169"/>
      <c r="GQ4" s="169"/>
      <c r="GR4" s="169"/>
      <c r="GS4" s="169"/>
      <c r="GT4" s="169"/>
      <c r="GU4" s="169"/>
      <c r="GV4" s="169"/>
      <c r="GW4" s="169"/>
      <c r="GX4" s="169"/>
      <c r="GY4" s="169"/>
      <c r="GZ4" s="169"/>
      <c r="HA4" s="169"/>
      <c r="HB4" s="169"/>
      <c r="HC4" s="169"/>
      <c r="HD4" s="169"/>
      <c r="HE4" s="169"/>
      <c r="HF4" s="169"/>
      <c r="HG4" s="169"/>
      <c r="HH4" s="169"/>
      <c r="HI4" s="169"/>
      <c r="HJ4" s="169"/>
      <c r="HK4" s="169"/>
      <c r="HL4" s="169"/>
      <c r="HM4" s="169"/>
      <c r="HN4" s="169"/>
      <c r="HO4" s="169"/>
      <c r="HP4" s="169"/>
      <c r="HQ4" s="169"/>
      <c r="HR4" s="169"/>
      <c r="HS4" s="169"/>
      <c r="HT4" s="169"/>
      <c r="HU4" s="169"/>
      <c r="HV4" s="169"/>
      <c r="HW4" s="169"/>
      <c r="HX4" s="169"/>
      <c r="HY4" s="169"/>
      <c r="HZ4" s="169"/>
      <c r="IA4" s="169"/>
      <c r="IB4" s="169"/>
      <c r="IC4" s="169"/>
      <c r="ID4" s="169"/>
      <c r="IE4" s="169"/>
      <c r="IF4" s="169"/>
      <c r="IG4" s="169"/>
      <c r="IH4" s="169"/>
      <c r="II4" s="169"/>
      <c r="IJ4" s="169"/>
      <c r="IK4" s="169"/>
      <c r="IL4" s="169"/>
      <c r="IM4" s="169"/>
      <c r="IN4" s="169"/>
      <c r="IO4" s="169"/>
      <c r="IP4" s="169"/>
      <c r="IQ4" s="169"/>
      <c r="IR4" s="169"/>
      <c r="IS4" s="169"/>
      <c r="IT4" s="169"/>
      <c r="IU4" s="169"/>
      <c r="IV4" s="169"/>
      <c r="IW4" s="169"/>
      <c r="IX4" s="169"/>
      <c r="IY4" s="169"/>
      <c r="IZ4" s="169"/>
      <c r="JA4" s="169"/>
      <c r="JB4" s="169"/>
      <c r="JC4" s="169"/>
      <c r="JD4" s="169"/>
      <c r="JE4" s="169"/>
      <c r="JF4" s="169"/>
      <c r="JG4" s="169"/>
      <c r="JH4" s="169"/>
      <c r="JI4" s="169"/>
      <c r="JJ4" s="169"/>
      <c r="JK4" s="169"/>
      <c r="JL4" s="169"/>
      <c r="JM4" s="169"/>
      <c r="JN4" s="169"/>
      <c r="JO4" s="169"/>
      <c r="JP4" s="169"/>
      <c r="JQ4" s="169"/>
      <c r="JR4" s="169"/>
      <c r="JS4" s="169"/>
      <c r="JT4" s="169"/>
      <c r="JU4" s="169"/>
      <c r="JV4" s="169"/>
      <c r="JW4" s="169"/>
      <c r="JX4" s="169"/>
      <c r="JY4" s="169"/>
      <c r="JZ4" s="169"/>
      <c r="KA4" s="169"/>
      <c r="KB4" s="169"/>
      <c r="KC4" s="169"/>
      <c r="KD4" s="169"/>
      <c r="KE4" s="169"/>
      <c r="KF4" s="169"/>
      <c r="KG4" s="169"/>
      <c r="KH4" s="169"/>
      <c r="KI4" s="169"/>
      <c r="KJ4" s="169"/>
      <c r="KK4" s="169"/>
      <c r="KL4" s="169"/>
      <c r="KM4" s="169"/>
      <c r="KN4" s="169"/>
      <c r="KO4" s="169"/>
      <c r="KP4" s="169"/>
      <c r="KQ4" s="169"/>
      <c r="KR4" s="169"/>
      <c r="KS4" s="169"/>
      <c r="KT4" s="169"/>
      <c r="KU4" s="169"/>
      <c r="KV4" s="169"/>
      <c r="KW4" s="169"/>
      <c r="KX4" s="169"/>
      <c r="KY4" s="169"/>
      <c r="KZ4" s="169"/>
      <c r="LA4" s="169"/>
      <c r="LB4" s="169"/>
      <c r="LC4" s="169"/>
      <c r="LD4" s="169"/>
      <c r="LE4" s="169"/>
      <c r="LF4" s="169"/>
      <c r="LG4" s="169"/>
      <c r="LH4" s="169"/>
      <c r="LI4" s="169"/>
      <c r="LJ4" s="169"/>
      <c r="LK4" s="169"/>
      <c r="LL4" s="169"/>
      <c r="LM4" s="169"/>
      <c r="LN4" s="169"/>
      <c r="LO4" s="169"/>
      <c r="LP4" s="169"/>
      <c r="LQ4" s="169"/>
      <c r="LR4" s="169"/>
      <c r="LS4" s="169"/>
      <c r="LT4" s="169"/>
      <c r="LU4" s="169"/>
      <c r="LV4" s="169"/>
      <c r="LW4" s="169"/>
      <c r="LX4" s="169"/>
      <c r="LY4" s="169"/>
      <c r="LZ4" s="169"/>
      <c r="MA4" s="169"/>
      <c r="MB4" s="169"/>
      <c r="MC4" s="169"/>
      <c r="MD4" s="169"/>
      <c r="ME4" s="169"/>
      <c r="MF4" s="169"/>
      <c r="MG4" s="169"/>
      <c r="MH4" s="169"/>
      <c r="MI4" s="169"/>
      <c r="MJ4" s="169"/>
      <c r="MK4" s="169"/>
      <c r="ML4" s="169"/>
      <c r="MM4" s="169"/>
      <c r="MN4" s="169"/>
      <c r="MO4" s="169"/>
      <c r="MP4" s="169"/>
      <c r="MQ4" s="169"/>
      <c r="MR4" s="169"/>
      <c r="MS4" s="169"/>
      <c r="MT4" s="169"/>
      <c r="MU4" s="169"/>
      <c r="MV4" s="169"/>
      <c r="MW4" s="169"/>
      <c r="MX4" s="169"/>
      <c r="MY4" s="169"/>
      <c r="MZ4" s="169"/>
      <c r="NA4" s="169"/>
      <c r="NB4" s="169"/>
      <c r="NC4" s="169"/>
      <c r="ND4" s="169"/>
      <c r="NE4" s="169"/>
      <c r="NF4" s="169"/>
      <c r="NG4" s="169"/>
      <c r="NH4" s="169"/>
      <c r="NI4" s="169"/>
      <c r="NJ4" s="169"/>
      <c r="NK4" s="169"/>
      <c r="NL4" s="169"/>
      <c r="NM4" s="169"/>
      <c r="NN4" s="169"/>
      <c r="NO4" s="169"/>
      <c r="NP4" s="169"/>
      <c r="NQ4" s="169"/>
      <c r="NR4" s="169"/>
      <c r="NS4" s="169"/>
      <c r="NT4" s="169"/>
      <c r="NU4" s="169"/>
      <c r="NV4" s="169"/>
      <c r="NW4" s="169"/>
      <c r="NX4" s="169"/>
      <c r="NY4" s="169"/>
      <c r="NZ4" s="169"/>
      <c r="OA4" s="169"/>
      <c r="OB4" s="169"/>
      <c r="OC4" s="169"/>
      <c r="OD4" s="169"/>
      <c r="OE4" s="169"/>
      <c r="OF4" s="169"/>
      <c r="OG4" s="169"/>
      <c r="OH4" s="169"/>
      <c r="OI4" s="169"/>
      <c r="OJ4" s="169"/>
      <c r="OK4" s="169"/>
      <c r="OL4" s="169"/>
    </row>
    <row r="5" spans="1:402" ht="12" customHeight="1">
      <c r="A5" s="129"/>
      <c r="B5" s="129" t="s">
        <v>1353</v>
      </c>
      <c r="C5" s="129">
        <v>1</v>
      </c>
      <c r="D5" s="130" t="s">
        <v>1010</v>
      </c>
      <c r="E5" s="131" t="s">
        <v>1420</v>
      </c>
      <c r="F5" s="131"/>
      <c r="G5" s="131"/>
      <c r="H5" s="131"/>
      <c r="I5" s="131"/>
      <c r="J5" s="131"/>
      <c r="K5" s="131"/>
      <c r="L5" s="131"/>
      <c r="M5" s="131"/>
      <c r="N5" s="131"/>
      <c r="O5" s="131"/>
      <c r="P5" s="132">
        <v>44197</v>
      </c>
      <c r="Q5" s="132">
        <v>44561</v>
      </c>
      <c r="R5" s="133"/>
      <c r="S5" s="134">
        <v>1032</v>
      </c>
      <c r="T5" s="134">
        <v>88</v>
      </c>
      <c r="U5" s="134">
        <v>252</v>
      </c>
      <c r="V5" s="134">
        <v>22</v>
      </c>
      <c r="W5" s="132"/>
      <c r="X5" s="132"/>
      <c r="Y5" s="135">
        <v>0</v>
      </c>
      <c r="Z5" s="136">
        <v>0</v>
      </c>
      <c r="AA5" s="134"/>
      <c r="AB5" s="133" t="s">
        <v>1403</v>
      </c>
      <c r="AC5" s="137"/>
      <c r="AD5" s="138">
        <v>8.5271317829457363E-2</v>
      </c>
      <c r="AE5" s="196">
        <v>0</v>
      </c>
      <c r="AF5" s="139" t="str">
        <f>"     " &amp; TEXT(AE5,"#0.00%") &amp; " "</f>
        <v xml:space="preserve">     0.00% </v>
      </c>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t="str">
        <f>"      " &amp; "기능개선 (프레임워크 core enabler 고도화)" &amp; "(신용윤,박세형)" &amp; " " &amp; IF(P5="","",TEXT(P5,"M/D-")) &amp; IF(Q5="","",TEXT(Q5,"M/D")) &amp; " "</f>
        <v xml:space="preserve">      기능개선 (프레임워크 core enabler 고도화)(신용윤,박세형) 1/1-12/31 </v>
      </c>
      <c r="CG5" s="140"/>
      <c r="CH5" s="141"/>
      <c r="CI5" s="141"/>
    </row>
    <row r="6" spans="1:402" ht="12" customHeight="1" outlineLevel="1">
      <c r="A6" s="129"/>
      <c r="B6" s="129" t="s">
        <v>1353</v>
      </c>
      <c r="C6" s="129">
        <v>2</v>
      </c>
      <c r="D6" s="130" t="s">
        <v>1067</v>
      </c>
      <c r="E6" s="131"/>
      <c r="F6" s="131" t="s">
        <v>1396</v>
      </c>
      <c r="G6" s="131"/>
      <c r="H6" s="131"/>
      <c r="I6" s="131"/>
      <c r="J6" s="131"/>
      <c r="K6" s="131"/>
      <c r="L6" s="131"/>
      <c r="M6" s="131"/>
      <c r="N6" s="131"/>
      <c r="O6" s="131"/>
      <c r="P6" s="132">
        <v>44197</v>
      </c>
      <c r="Q6" s="132">
        <v>44561</v>
      </c>
      <c r="R6" s="133"/>
      <c r="S6" s="134">
        <v>356</v>
      </c>
      <c r="T6" s="134">
        <v>44</v>
      </c>
      <c r="U6" s="134">
        <v>252</v>
      </c>
      <c r="V6" s="134">
        <v>22</v>
      </c>
      <c r="W6" s="132"/>
      <c r="X6" s="132"/>
      <c r="Y6" s="135">
        <v>0</v>
      </c>
      <c r="Z6" s="136">
        <v>0</v>
      </c>
      <c r="AA6" s="134"/>
      <c r="AB6" s="133" t="s">
        <v>1403</v>
      </c>
      <c r="AC6" s="137"/>
      <c r="AD6" s="138">
        <v>0.12359550561797752</v>
      </c>
      <c r="AE6" s="196">
        <v>0</v>
      </c>
      <c r="AF6" s="139" t="str">
        <f>"     " &amp; TEXT(AE6,"#0.00%") &amp; " "</f>
        <v xml:space="preserve">     0.00% </v>
      </c>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40"/>
      <c r="BL6" s="140"/>
      <c r="BM6" s="140"/>
      <c r="BN6" s="140"/>
      <c r="BO6" s="140"/>
      <c r="BP6" s="140"/>
      <c r="BQ6" s="140"/>
      <c r="BR6" s="140"/>
      <c r="BS6" s="140"/>
      <c r="BT6" s="140"/>
      <c r="BU6" s="140"/>
      <c r="BV6" s="140"/>
      <c r="BW6" s="140"/>
      <c r="BX6" s="140"/>
      <c r="BY6" s="140"/>
      <c r="BZ6" s="140"/>
      <c r="CA6" s="140"/>
      <c r="CB6" s="140"/>
      <c r="CC6" s="140"/>
      <c r="CD6" s="140"/>
      <c r="CE6" s="140"/>
      <c r="CF6" s="140" t="str">
        <f>"      " &amp; "동적 노드 구성" &amp; "(신용윤,박세형)" &amp; " " &amp; IF(P6="","",TEXT(P6,"M/D-")) &amp; IF(Q6="","",TEXT(Q6,"M/D")) &amp; " "</f>
        <v xml:space="preserve">      동적 노드 구성(신용윤,박세형) 1/1-12/31 </v>
      </c>
      <c r="CG6" s="140"/>
    </row>
    <row r="7" spans="1:402" ht="12" customHeight="1" outlineLevel="2">
      <c r="A7" s="129"/>
      <c r="B7" s="129" t="s">
        <v>1353</v>
      </c>
      <c r="C7" s="129">
        <v>3</v>
      </c>
      <c r="D7" s="130" t="s">
        <v>1068</v>
      </c>
      <c r="E7" s="131"/>
      <c r="F7" s="131"/>
      <c r="G7" s="131" t="s">
        <v>1401</v>
      </c>
      <c r="H7" s="131"/>
      <c r="I7" s="131"/>
      <c r="J7" s="131"/>
      <c r="K7" s="131"/>
      <c r="L7" s="131"/>
      <c r="M7" s="131"/>
      <c r="N7" s="131"/>
      <c r="O7" s="131"/>
      <c r="P7" s="132">
        <v>44197</v>
      </c>
      <c r="Q7" s="132">
        <v>44255</v>
      </c>
      <c r="R7" s="133"/>
      <c r="S7" s="134">
        <v>76</v>
      </c>
      <c r="T7" s="134">
        <v>44</v>
      </c>
      <c r="U7" s="134">
        <v>38</v>
      </c>
      <c r="V7" s="134">
        <v>22</v>
      </c>
      <c r="W7" s="132"/>
      <c r="X7" s="132"/>
      <c r="Y7" s="135">
        <v>0</v>
      </c>
      <c r="Z7" s="136">
        <v>0</v>
      </c>
      <c r="AA7" s="134"/>
      <c r="AB7" s="133" t="s">
        <v>1403</v>
      </c>
      <c r="AC7" s="137" t="s">
        <v>1430</v>
      </c>
      <c r="AD7" s="138">
        <v>0.57894736842105265</v>
      </c>
      <c r="AE7" s="196">
        <v>0</v>
      </c>
      <c r="AF7" s="139" t="str">
        <f>"     " &amp; TEXT(AE7,"#0.00%") &amp; " "</f>
        <v xml:space="preserve">     0.00% </v>
      </c>
      <c r="AG7" s="140"/>
      <c r="AH7" s="140"/>
      <c r="AI7" s="140"/>
      <c r="AJ7" s="140"/>
      <c r="AK7" s="140"/>
      <c r="AL7" s="140"/>
      <c r="AM7" s="140"/>
      <c r="AN7" s="140"/>
      <c r="AO7" s="140" t="str">
        <f>" " &amp; "개념 분석" &amp; "(신용윤,박세형)" &amp; " " &amp; IF(P7="","",TEXT(P7,"M/D-")) &amp; IF(Q7="","",TEXT(Q7,"M/D")) &amp; " "</f>
        <v xml:space="preserve"> 개념 분석(신용윤,박세형) 1/1-2/28 </v>
      </c>
      <c r="AP7" s="140"/>
      <c r="AQ7" s="140"/>
      <c r="AR7" s="140"/>
      <c r="AS7" s="140"/>
      <c r="AT7" s="140"/>
      <c r="AU7" s="140"/>
      <c r="AV7" s="140"/>
      <c r="AW7" s="140"/>
      <c r="AX7" s="140"/>
      <c r="AY7" s="140"/>
      <c r="AZ7" s="140"/>
      <c r="BA7" s="140"/>
      <c r="BB7" s="140"/>
      <c r="BC7" s="140"/>
      <c r="BD7" s="140"/>
      <c r="BE7" s="140"/>
      <c r="BF7" s="140"/>
      <c r="BG7" s="140"/>
      <c r="BH7" s="140"/>
      <c r="BI7" s="140"/>
      <c r="BJ7" s="140"/>
      <c r="BK7" s="140"/>
      <c r="BL7" s="140"/>
      <c r="BM7" s="140"/>
      <c r="BN7" s="140"/>
      <c r="BO7" s="140"/>
      <c r="BP7" s="140"/>
      <c r="BQ7" s="140"/>
      <c r="BR7" s="140"/>
      <c r="BS7" s="140"/>
      <c r="BT7" s="140"/>
      <c r="BU7" s="140"/>
      <c r="BV7" s="140"/>
      <c r="BW7" s="140"/>
      <c r="BX7" s="140"/>
      <c r="BY7" s="140"/>
      <c r="BZ7" s="140"/>
      <c r="CA7" s="140"/>
      <c r="CB7" s="140"/>
      <c r="CC7" s="140"/>
      <c r="CD7" s="140"/>
      <c r="CE7" s="140"/>
      <c r="CF7" s="140"/>
      <c r="CG7" s="140"/>
    </row>
    <row r="8" spans="1:402" ht="12" customHeight="1" outlineLevel="3">
      <c r="A8" s="129"/>
      <c r="B8" s="129"/>
      <c r="C8" s="129">
        <v>4</v>
      </c>
      <c r="D8" s="130" t="s">
        <v>1415</v>
      </c>
      <c r="E8" s="131"/>
      <c r="F8" s="131"/>
      <c r="G8" s="131"/>
      <c r="H8" s="131" t="s">
        <v>1402</v>
      </c>
      <c r="I8" s="131"/>
      <c r="J8" s="131"/>
      <c r="K8" s="131"/>
      <c r="L8" s="131"/>
      <c r="M8" s="131"/>
      <c r="N8" s="131"/>
      <c r="O8" s="131"/>
      <c r="P8" s="132">
        <v>44197</v>
      </c>
      <c r="Q8" s="132">
        <v>44255</v>
      </c>
      <c r="R8" s="133"/>
      <c r="S8" s="134">
        <v>76</v>
      </c>
      <c r="T8" s="134">
        <v>44</v>
      </c>
      <c r="U8" s="134">
        <v>38</v>
      </c>
      <c r="V8" s="134">
        <v>22</v>
      </c>
      <c r="W8" s="132"/>
      <c r="X8" s="132"/>
      <c r="Y8" s="135"/>
      <c r="Z8" s="136">
        <v>0</v>
      </c>
      <c r="AA8" s="134"/>
      <c r="AB8" s="133" t="s">
        <v>1403</v>
      </c>
      <c r="AC8" s="137"/>
      <c r="AD8" s="138">
        <v>0.57894736842105265</v>
      </c>
      <c r="AE8" s="195">
        <v>0</v>
      </c>
      <c r="AF8" s="139" t="str">
        <f>"     " &amp; TEXT(AE8,"#0.00%") &amp; " "</f>
        <v xml:space="preserve">     0.00% </v>
      </c>
      <c r="AG8" s="140"/>
      <c r="AH8" s="140"/>
      <c r="AI8" s="140"/>
      <c r="AJ8" s="140"/>
      <c r="AK8" s="140"/>
      <c r="AL8" s="140"/>
      <c r="AM8" s="140"/>
      <c r="AN8" s="140"/>
      <c r="AO8" s="140" t="str">
        <f>" " &amp; "선행 연구 분석" &amp; "(신용윤,박세형)" &amp; " " &amp; IF(P8="","",TEXT(P8,"M/D-")) &amp; IF(Q8="","",TEXT(Q8,"M/D")) &amp; " "</f>
        <v xml:space="preserve"> 선행 연구 분석(신용윤,박세형) 1/1-2/28 </v>
      </c>
      <c r="AP8" s="140"/>
      <c r="AQ8" s="140"/>
      <c r="AR8" s="140"/>
      <c r="AS8" s="140"/>
      <c r="AT8" s="140"/>
      <c r="AU8" s="140"/>
      <c r="AV8" s="140"/>
      <c r="AW8" s="140"/>
      <c r="AX8" s="140"/>
      <c r="AY8" s="140"/>
      <c r="AZ8" s="140"/>
      <c r="BA8" s="140"/>
      <c r="BB8" s="140"/>
      <c r="BC8" s="140"/>
      <c r="BD8" s="140"/>
      <c r="BE8" s="140"/>
      <c r="BF8" s="140"/>
      <c r="BG8" s="140"/>
      <c r="BH8" s="140"/>
      <c r="BI8" s="140"/>
      <c r="BJ8" s="140"/>
      <c r="BK8" s="140"/>
      <c r="BL8" s="140"/>
      <c r="BM8" s="140"/>
      <c r="BN8" s="140"/>
      <c r="BO8" s="140"/>
      <c r="BP8" s="140"/>
      <c r="BQ8" s="140"/>
      <c r="BR8" s="140"/>
      <c r="BS8" s="140"/>
      <c r="BT8" s="140"/>
      <c r="BU8" s="140"/>
      <c r="BV8" s="140"/>
      <c r="BW8" s="140"/>
      <c r="BX8" s="140"/>
      <c r="BY8" s="140"/>
      <c r="BZ8" s="140"/>
      <c r="CA8" s="140"/>
      <c r="CB8" s="140"/>
      <c r="CC8" s="140"/>
      <c r="CD8" s="140"/>
      <c r="CE8" s="140"/>
      <c r="CF8" s="140"/>
      <c r="CG8" s="140"/>
    </row>
    <row r="9" spans="1:402" ht="12" customHeight="1" outlineLevel="2">
      <c r="A9" s="129"/>
      <c r="B9" s="129" t="s">
        <v>1353</v>
      </c>
      <c r="C9" s="129">
        <v>3</v>
      </c>
      <c r="D9" s="130" t="s">
        <v>1069</v>
      </c>
      <c r="E9" s="131"/>
      <c r="F9" s="131"/>
      <c r="G9" s="131" t="s">
        <v>1404</v>
      </c>
      <c r="H9" s="131"/>
      <c r="I9" s="131"/>
      <c r="J9" s="131"/>
      <c r="K9" s="131"/>
      <c r="L9" s="131"/>
      <c r="M9" s="131"/>
      <c r="N9" s="131"/>
      <c r="O9" s="131"/>
      <c r="P9" s="132">
        <v>44256</v>
      </c>
      <c r="Q9" s="132">
        <v>44316</v>
      </c>
      <c r="R9" s="133"/>
      <c r="S9" s="134">
        <v>88</v>
      </c>
      <c r="T9" s="134">
        <v>0</v>
      </c>
      <c r="U9" s="134">
        <v>44</v>
      </c>
      <c r="V9" s="134">
        <v>0</v>
      </c>
      <c r="W9" s="132"/>
      <c r="X9" s="132"/>
      <c r="Y9" s="135">
        <v>0</v>
      </c>
      <c r="Z9" s="136">
        <v>0</v>
      </c>
      <c r="AA9" s="134"/>
      <c r="AB9" s="133" t="s">
        <v>1403</v>
      </c>
      <c r="AC9" s="137" t="s">
        <v>1431</v>
      </c>
      <c r="AD9" s="138">
        <v>0</v>
      </c>
      <c r="AE9" s="193">
        <v>0</v>
      </c>
      <c r="AF9" s="139"/>
      <c r="AG9" s="140"/>
      <c r="AH9" s="140"/>
      <c r="AI9" s="140"/>
      <c r="AJ9" s="140"/>
      <c r="AK9" s="140"/>
      <c r="AL9" s="140"/>
      <c r="AM9" s="140"/>
      <c r="AN9" s="140"/>
      <c r="AO9" s="140" t="str">
        <f>" " &amp; TEXT(AE9,"#0.00%") &amp; " "</f>
        <v xml:space="preserve"> 0.00% </v>
      </c>
      <c r="AP9" s="140"/>
      <c r="AQ9" s="140"/>
      <c r="AR9" s="140"/>
      <c r="AS9" s="140"/>
      <c r="AT9" s="140"/>
      <c r="AU9" s="140"/>
      <c r="AV9" s="140"/>
      <c r="AW9" s="140" t="str">
        <f>"      " &amp; "기능 정의 및 설계" &amp; "(신용윤,박세형)" &amp; " " &amp; IF(P9="","",TEXT(P9,"M/D-")) &amp; IF(Q9="","",TEXT(Q9,"M/D")) &amp; " "</f>
        <v xml:space="preserve">      기능 정의 및 설계(신용윤,박세형) 3/1-4/30 </v>
      </c>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c r="CG9" s="140"/>
    </row>
    <row r="10" spans="1:402" ht="12" customHeight="1" outlineLevel="3">
      <c r="A10" s="129"/>
      <c r="B10" s="129"/>
      <c r="C10" s="129">
        <v>4</v>
      </c>
      <c r="D10" s="130" t="s">
        <v>1243</v>
      </c>
      <c r="E10" s="131"/>
      <c r="F10" s="131"/>
      <c r="G10" s="131"/>
      <c r="H10" s="131" t="s">
        <v>1405</v>
      </c>
      <c r="I10" s="131"/>
      <c r="J10" s="131"/>
      <c r="K10" s="131"/>
      <c r="L10" s="131"/>
      <c r="M10" s="131"/>
      <c r="N10" s="131"/>
      <c r="O10" s="131"/>
      <c r="P10" s="132">
        <v>44256</v>
      </c>
      <c r="Q10" s="132">
        <v>44286</v>
      </c>
      <c r="R10" s="133"/>
      <c r="S10" s="134">
        <v>44</v>
      </c>
      <c r="T10" s="134">
        <v>0</v>
      </c>
      <c r="U10" s="134">
        <v>22</v>
      </c>
      <c r="V10" s="134">
        <v>0</v>
      </c>
      <c r="W10" s="132">
        <v>44190</v>
      </c>
      <c r="X10" s="132"/>
      <c r="Y10" s="135">
        <v>-31565</v>
      </c>
      <c r="Z10" s="136">
        <v>0</v>
      </c>
      <c r="AA10" s="134">
        <v>1</v>
      </c>
      <c r="AB10" s="133" t="s">
        <v>1403</v>
      </c>
      <c r="AC10" s="137"/>
      <c r="AD10" s="138">
        <v>0</v>
      </c>
      <c r="AE10" s="165">
        <v>0</v>
      </c>
      <c r="AF10" s="139"/>
      <c r="AG10" s="140"/>
      <c r="AH10" s="140"/>
      <c r="AI10" s="140"/>
      <c r="AJ10" s="140"/>
      <c r="AK10" s="140"/>
      <c r="AL10" s="140"/>
      <c r="AM10" s="140"/>
      <c r="AN10" s="140"/>
      <c r="AO10" s="140" t="str">
        <f>" " &amp; TEXT(AE10,"#0.00%") &amp; " "</f>
        <v xml:space="preserve"> 0.00% </v>
      </c>
      <c r="AP10" s="140"/>
      <c r="AQ10" s="140"/>
      <c r="AR10" s="140"/>
      <c r="AS10" s="140" t="str">
        <f>"    " &amp; "필수 기능 정의" &amp; "(신용윤,박세형)" &amp; " " &amp; IF(P10="","",TEXT(P10,"M/D-")) &amp; IF(Q10="","",TEXT(Q10,"M/D")) &amp; " "</f>
        <v xml:space="preserve">    필수 기능 정의(신용윤,박세형) 3/1-3/31 </v>
      </c>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row>
    <row r="11" spans="1:402" ht="12" customHeight="1" outlineLevel="3">
      <c r="A11" s="129"/>
      <c r="B11" s="129"/>
      <c r="C11" s="129">
        <v>4</v>
      </c>
      <c r="D11" s="130" t="s">
        <v>1244</v>
      </c>
      <c r="E11" s="131"/>
      <c r="F11" s="131"/>
      <c r="G11" s="131"/>
      <c r="H11" s="131" t="s">
        <v>1406</v>
      </c>
      <c r="I11" s="131"/>
      <c r="J11" s="131"/>
      <c r="K11" s="131"/>
      <c r="L11" s="131"/>
      <c r="M11" s="131"/>
      <c r="N11" s="131"/>
      <c r="O11" s="131"/>
      <c r="P11" s="132">
        <v>44287</v>
      </c>
      <c r="Q11" s="132">
        <v>44316</v>
      </c>
      <c r="R11" s="133"/>
      <c r="S11" s="134">
        <v>44</v>
      </c>
      <c r="T11" s="134">
        <v>0</v>
      </c>
      <c r="U11" s="134">
        <v>22</v>
      </c>
      <c r="V11" s="134">
        <v>0</v>
      </c>
      <c r="W11" s="132"/>
      <c r="X11" s="132"/>
      <c r="Y11" s="135"/>
      <c r="Z11" s="136">
        <v>0</v>
      </c>
      <c r="AA11" s="134"/>
      <c r="AB11" s="133" t="s">
        <v>1403</v>
      </c>
      <c r="AC11" s="137"/>
      <c r="AD11" s="138">
        <v>0</v>
      </c>
      <c r="AE11" s="165">
        <v>0</v>
      </c>
      <c r="AF11" s="139"/>
      <c r="AG11" s="140"/>
      <c r="AH11" s="140"/>
      <c r="AI11" s="140"/>
      <c r="AJ11" s="140"/>
      <c r="AK11" s="140"/>
      <c r="AL11" s="140"/>
      <c r="AM11" s="140"/>
      <c r="AN11" s="140"/>
      <c r="AO11" s="140"/>
      <c r="AP11" s="140"/>
      <c r="AQ11" s="140"/>
      <c r="AR11" s="140"/>
      <c r="AS11" s="140" t="str">
        <f>"    " &amp; TEXT(AE11,"#0.00%") &amp; " "</f>
        <v xml:space="preserve">    0.00% </v>
      </c>
      <c r="AT11" s="140"/>
      <c r="AU11" s="140"/>
      <c r="AV11" s="140"/>
      <c r="AW11" s="140" t="str">
        <f>"      " &amp; "동적 노드 구성 설계" &amp; "(신용윤,박세형)" &amp; " " &amp; IF(P11="","",TEXT(P11,"M/D-")) &amp; IF(Q11="","",TEXT(Q11,"M/D")) &amp; " "</f>
        <v xml:space="preserve">      동적 노드 구성 설계(신용윤,박세형) 4/1-4/30 </v>
      </c>
      <c r="AX11" s="140"/>
      <c r="AY11" s="140"/>
      <c r="AZ11" s="140"/>
      <c r="BA11" s="140"/>
      <c r="BB11" s="140"/>
      <c r="BC11" s="140"/>
      <c r="BD11" s="140"/>
      <c r="BE11" s="140"/>
      <c r="BF11" s="140"/>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row>
    <row r="12" spans="1:402" ht="12" customHeight="1" outlineLevel="2">
      <c r="A12" s="129"/>
      <c r="B12" s="129" t="s">
        <v>1353</v>
      </c>
      <c r="C12" s="129">
        <v>3</v>
      </c>
      <c r="D12" s="208" t="s">
        <v>1076</v>
      </c>
      <c r="E12" s="209"/>
      <c r="F12" s="209"/>
      <c r="G12" s="209" t="s">
        <v>1416</v>
      </c>
      <c r="H12" s="210"/>
      <c r="I12" s="210"/>
      <c r="J12" s="210"/>
      <c r="K12" s="210"/>
      <c r="L12" s="210"/>
      <c r="M12" s="210"/>
      <c r="N12" s="210"/>
      <c r="O12" s="210"/>
      <c r="P12" s="211">
        <v>44317</v>
      </c>
      <c r="Q12" s="211">
        <v>44469</v>
      </c>
      <c r="R12" s="212"/>
      <c r="S12" s="213">
        <v>104</v>
      </c>
      <c r="T12" s="213">
        <v>0</v>
      </c>
      <c r="U12" s="213">
        <v>104</v>
      </c>
      <c r="V12" s="213">
        <v>0</v>
      </c>
      <c r="W12" s="211"/>
      <c r="X12" s="211"/>
      <c r="Y12" s="214">
        <v>0</v>
      </c>
      <c r="Z12" s="215">
        <v>0</v>
      </c>
      <c r="AA12" s="213"/>
      <c r="AB12" s="218" t="s">
        <v>1424</v>
      </c>
      <c r="AC12" s="216" t="s">
        <v>1432</v>
      </c>
      <c r="AD12" s="217">
        <v>0</v>
      </c>
      <c r="AE12" s="193">
        <v>0</v>
      </c>
      <c r="AF12" s="139"/>
      <c r="AG12" s="140"/>
      <c r="AH12" s="140"/>
      <c r="AI12" s="140"/>
      <c r="AJ12" s="140"/>
      <c r="AK12" s="140"/>
      <c r="AL12" s="140"/>
      <c r="AM12" s="140"/>
      <c r="AN12" s="140"/>
      <c r="AO12" s="140"/>
      <c r="AP12" s="140"/>
      <c r="AQ12" s="140"/>
      <c r="AR12" s="140"/>
      <c r="AS12" s="140"/>
      <c r="AT12" s="140"/>
      <c r="AU12" s="140"/>
      <c r="AV12" s="140"/>
      <c r="AW12" s="140" t="str">
        <f>"      " &amp; TEXT(AE12,"#0.00%") &amp; " "</f>
        <v xml:space="preserve">      0.00% </v>
      </c>
      <c r="AX12" s="140"/>
      <c r="AY12" s="140"/>
      <c r="AZ12" s="140"/>
      <c r="BA12" s="140"/>
      <c r="BB12" s="140"/>
      <c r="BC12" s="140"/>
      <c r="BD12" s="140"/>
      <c r="BE12" s="140"/>
      <c r="BF12" s="140"/>
      <c r="BG12" s="140"/>
      <c r="BH12" s="140"/>
      <c r="BI12" s="140"/>
      <c r="BJ12" s="140"/>
      <c r="BK12" s="140"/>
      <c r="BL12" s="140"/>
      <c r="BM12" s="140"/>
      <c r="BN12" s="140"/>
      <c r="BO12" s="140"/>
      <c r="BP12" s="140"/>
      <c r="BQ12" s="140"/>
      <c r="BR12" s="140"/>
      <c r="BS12" s="140" t="str">
        <f>"     " &amp; "기능 구현" &amp; "(신용윤)" &amp; " " &amp; IF(P12="","",TEXT(P12,"M/D-")) &amp; IF(Q12="","",TEXT(Q12,"M/D")) &amp; " "</f>
        <v xml:space="preserve">     기능 구현(신용윤) 5/1-9/30 </v>
      </c>
      <c r="BT12" s="140"/>
      <c r="BU12" s="140"/>
      <c r="BV12" s="140"/>
      <c r="BW12" s="140"/>
      <c r="BX12" s="140"/>
      <c r="BY12" s="140"/>
      <c r="BZ12" s="140"/>
      <c r="CA12" s="140"/>
      <c r="CB12" s="140"/>
      <c r="CC12" s="140"/>
      <c r="CD12" s="140"/>
      <c r="CE12" s="140"/>
      <c r="CF12" s="140"/>
      <c r="CG12" s="140"/>
    </row>
    <row r="13" spans="1:402" ht="12" customHeight="1" outlineLevel="3">
      <c r="A13" s="129"/>
      <c r="B13" s="129"/>
      <c r="C13" s="129">
        <v>4</v>
      </c>
      <c r="D13" s="233" t="s">
        <v>1440</v>
      </c>
      <c r="E13" s="225"/>
      <c r="F13" s="225"/>
      <c r="G13" s="225"/>
      <c r="H13" s="225" t="s">
        <v>1439</v>
      </c>
      <c r="I13" s="225"/>
      <c r="J13" s="225"/>
      <c r="K13" s="225"/>
      <c r="L13" s="225"/>
      <c r="M13" s="225"/>
      <c r="N13" s="225"/>
      <c r="O13" s="225"/>
      <c r="P13" s="226">
        <v>44317</v>
      </c>
      <c r="Q13" s="226">
        <v>44469</v>
      </c>
      <c r="R13" s="227"/>
      <c r="S13" s="228">
        <v>104</v>
      </c>
      <c r="T13" s="228">
        <v>0</v>
      </c>
      <c r="U13" s="228">
        <v>104</v>
      </c>
      <c r="V13" s="228">
        <v>0</v>
      </c>
      <c r="W13" s="226"/>
      <c r="X13" s="226"/>
      <c r="Y13" s="229"/>
      <c r="Z13" s="230">
        <v>0</v>
      </c>
      <c r="AA13" s="228"/>
      <c r="AB13" s="227" t="s">
        <v>1424</v>
      </c>
      <c r="AC13" s="231"/>
      <c r="AD13" s="232">
        <v>0</v>
      </c>
      <c r="AE13" s="165">
        <v>0</v>
      </c>
      <c r="AF13" s="139"/>
      <c r="AG13" s="140"/>
      <c r="AH13" s="140"/>
      <c r="AI13" s="140"/>
      <c r="AJ13" s="140"/>
      <c r="AK13" s="140"/>
      <c r="AL13" s="140"/>
      <c r="AM13" s="140"/>
      <c r="AN13" s="140"/>
      <c r="AO13" s="140"/>
      <c r="AP13" s="140"/>
      <c r="AQ13" s="140"/>
      <c r="AR13" s="140"/>
      <c r="AS13" s="140"/>
      <c r="AT13" s="140"/>
      <c r="AU13" s="140"/>
      <c r="AV13" s="140"/>
      <c r="AW13" s="140" t="str">
        <f>"      " &amp; TEXT(AE13,"#0.00%") &amp; " "</f>
        <v xml:space="preserve">      0.00% </v>
      </c>
      <c r="AX13" s="140"/>
      <c r="AY13" s="140"/>
      <c r="AZ13" s="140"/>
      <c r="BA13" s="140"/>
      <c r="BB13" s="140"/>
      <c r="BC13" s="140"/>
      <c r="BD13" s="140"/>
      <c r="BE13" s="140"/>
      <c r="BF13" s="140"/>
      <c r="BG13" s="140"/>
      <c r="BH13" s="140"/>
      <c r="BI13" s="140"/>
      <c r="BJ13" s="140"/>
      <c r="BK13" s="140"/>
      <c r="BL13" s="140"/>
      <c r="BM13" s="140"/>
      <c r="BN13" s="140"/>
      <c r="BO13" s="140"/>
      <c r="BP13" s="140"/>
      <c r="BQ13" s="140"/>
      <c r="BR13" s="140"/>
      <c r="BS13" s="140" t="str">
        <f>"     " &amp; "managed DHT 구현" &amp; "(신용윤)" &amp; " " &amp; IF(P13="","",TEXT(P13,"M/D-")) &amp; IF(Q13="","",TEXT(Q13,"M/D")) &amp; " "</f>
        <v xml:space="preserve">     managed DHT 구현(신용윤) 5/1-9/30 </v>
      </c>
      <c r="BT13" s="140"/>
      <c r="BU13" s="140"/>
      <c r="BV13" s="140"/>
      <c r="BW13" s="140"/>
      <c r="BX13" s="140"/>
      <c r="BY13" s="140"/>
      <c r="BZ13" s="140"/>
      <c r="CA13" s="140"/>
      <c r="CB13" s="140"/>
      <c r="CC13" s="140"/>
      <c r="CD13" s="140"/>
      <c r="CE13" s="140"/>
      <c r="CF13" s="140"/>
      <c r="CG13" s="140"/>
    </row>
    <row r="14" spans="1:402" ht="12" customHeight="1" outlineLevel="2">
      <c r="A14" s="129"/>
      <c r="B14" s="129" t="s">
        <v>1353</v>
      </c>
      <c r="C14" s="129">
        <v>3</v>
      </c>
      <c r="D14" s="208" t="s">
        <v>1077</v>
      </c>
      <c r="E14" s="209"/>
      <c r="F14" s="209"/>
      <c r="G14" s="209" t="s">
        <v>1417</v>
      </c>
      <c r="H14" s="210"/>
      <c r="I14" s="210"/>
      <c r="J14" s="210"/>
      <c r="K14" s="210"/>
      <c r="L14" s="210"/>
      <c r="M14" s="210"/>
      <c r="N14" s="210"/>
      <c r="O14" s="210"/>
      <c r="P14" s="211">
        <v>44470</v>
      </c>
      <c r="Q14" s="211">
        <v>44530</v>
      </c>
      <c r="R14" s="212"/>
      <c r="S14" s="213">
        <v>43</v>
      </c>
      <c r="T14" s="213">
        <v>0</v>
      </c>
      <c r="U14" s="213">
        <v>43</v>
      </c>
      <c r="V14" s="213">
        <v>0</v>
      </c>
      <c r="W14" s="211"/>
      <c r="X14" s="211"/>
      <c r="Y14" s="214">
        <v>0</v>
      </c>
      <c r="Z14" s="215">
        <v>0</v>
      </c>
      <c r="AA14" s="213"/>
      <c r="AB14" s="218" t="s">
        <v>1424</v>
      </c>
      <c r="AC14" s="216"/>
      <c r="AD14" s="217">
        <v>0</v>
      </c>
      <c r="AE14" s="193">
        <v>0</v>
      </c>
      <c r="AF14" s="139"/>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40"/>
      <c r="BL14" s="140"/>
      <c r="BM14" s="140"/>
      <c r="BN14" s="140"/>
      <c r="BO14" s="140"/>
      <c r="BP14" s="140"/>
      <c r="BQ14" s="140"/>
      <c r="BR14" s="140"/>
      <c r="BS14" s="140" t="str">
        <f>"     " &amp; TEXT(AE14,"#0.00%") &amp; " "</f>
        <v xml:space="preserve">     0.00% </v>
      </c>
      <c r="BT14" s="140"/>
      <c r="BU14" s="140"/>
      <c r="BV14" s="140"/>
      <c r="BW14" s="140"/>
      <c r="BX14" s="140"/>
      <c r="BY14" s="140"/>
      <c r="BZ14" s="140"/>
      <c r="CA14" s="140"/>
      <c r="CB14" s="140" t="str">
        <f>"   " &amp; "기능 테스트 및 디버깅" &amp; "(신용윤)" &amp; " " &amp; IF(P14="","",TEXT(P14,"M/D-")) &amp; IF(Q14="","",TEXT(Q14,"M/D")) &amp; " "</f>
        <v xml:space="preserve">   기능 테스트 및 디버깅(신용윤) 10/1-11/30 </v>
      </c>
      <c r="CC14" s="140"/>
      <c r="CD14" s="140"/>
      <c r="CE14" s="140"/>
      <c r="CF14" s="140"/>
      <c r="CG14" s="140"/>
    </row>
    <row r="15" spans="1:402" ht="12" customHeight="1" outlineLevel="3">
      <c r="A15" s="129"/>
      <c r="B15" s="129"/>
      <c r="C15" s="129">
        <v>4</v>
      </c>
      <c r="D15" s="233" t="s">
        <v>1441</v>
      </c>
      <c r="E15" s="225"/>
      <c r="F15" s="225"/>
      <c r="G15" s="225"/>
      <c r="H15" s="225" t="s">
        <v>1437</v>
      </c>
      <c r="I15" s="225"/>
      <c r="J15" s="225"/>
      <c r="K15" s="225"/>
      <c r="L15" s="225"/>
      <c r="M15" s="225"/>
      <c r="N15" s="225"/>
      <c r="O15" s="225"/>
      <c r="P15" s="226">
        <v>44470</v>
      </c>
      <c r="Q15" s="226">
        <v>44530</v>
      </c>
      <c r="R15" s="227"/>
      <c r="S15" s="228">
        <v>43</v>
      </c>
      <c r="T15" s="228">
        <v>0</v>
      </c>
      <c r="U15" s="228">
        <v>43</v>
      </c>
      <c r="V15" s="228">
        <v>0</v>
      </c>
      <c r="W15" s="226"/>
      <c r="X15" s="226"/>
      <c r="Y15" s="229"/>
      <c r="Z15" s="230">
        <v>0</v>
      </c>
      <c r="AA15" s="228"/>
      <c r="AB15" s="227" t="s">
        <v>1424</v>
      </c>
      <c r="AC15" s="231"/>
      <c r="AD15" s="232">
        <v>0</v>
      </c>
      <c r="AE15" s="165">
        <v>0</v>
      </c>
      <c r="AF15" s="139"/>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t="str">
        <f>"     " &amp; TEXT(AE15,"#0.00%") &amp; " "</f>
        <v xml:space="preserve">     0.00% </v>
      </c>
      <c r="BT15" s="140"/>
      <c r="BU15" s="140"/>
      <c r="BV15" s="140"/>
      <c r="BW15" s="140"/>
      <c r="BX15" s="140"/>
      <c r="BY15" s="140"/>
      <c r="BZ15" s="140"/>
      <c r="CA15" s="140"/>
      <c r="CB15" s="140" t="str">
        <f>"   " &amp; "유닛 테스트 및 디버깅" &amp; "(신용윤)" &amp; " " &amp; IF(P15="","",TEXT(P15,"M/D-")) &amp; IF(Q15="","",TEXT(Q15,"M/D")) &amp; " "</f>
        <v xml:space="preserve">   유닛 테스트 및 디버깅(신용윤) 10/1-11/30 </v>
      </c>
      <c r="CC15" s="140"/>
      <c r="CD15" s="140"/>
      <c r="CE15" s="140"/>
      <c r="CF15" s="140"/>
      <c r="CG15" s="140"/>
    </row>
    <row r="16" spans="1:402" ht="12" customHeight="1" outlineLevel="2">
      <c r="A16" s="129"/>
      <c r="B16" s="129" t="s">
        <v>1353</v>
      </c>
      <c r="C16" s="129">
        <v>3</v>
      </c>
      <c r="D16" s="208" t="s">
        <v>1418</v>
      </c>
      <c r="E16" s="209"/>
      <c r="F16" s="209"/>
      <c r="G16" s="209" t="s">
        <v>1530</v>
      </c>
      <c r="H16" s="210"/>
      <c r="I16" s="210"/>
      <c r="J16" s="210"/>
      <c r="K16" s="210"/>
      <c r="L16" s="210"/>
      <c r="M16" s="210"/>
      <c r="N16" s="210"/>
      <c r="O16" s="210"/>
      <c r="P16" s="211">
        <v>44501</v>
      </c>
      <c r="Q16" s="211">
        <v>44561</v>
      </c>
      <c r="R16" s="212"/>
      <c r="S16" s="213">
        <v>45</v>
      </c>
      <c r="T16" s="213">
        <v>0</v>
      </c>
      <c r="U16" s="213">
        <v>45</v>
      </c>
      <c r="V16" s="213">
        <v>0</v>
      </c>
      <c r="W16" s="211"/>
      <c r="X16" s="211"/>
      <c r="Y16" s="214">
        <v>0</v>
      </c>
      <c r="Z16" s="215">
        <v>0</v>
      </c>
      <c r="AA16" s="213"/>
      <c r="AB16" s="218" t="s">
        <v>1403</v>
      </c>
      <c r="AC16" s="216"/>
      <c r="AD16" s="217">
        <v>0</v>
      </c>
      <c r="AE16" s="193">
        <v>0</v>
      </c>
      <c r="AF16" s="139"/>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40"/>
      <c r="BL16" s="140"/>
      <c r="BM16" s="140"/>
      <c r="BN16" s="140"/>
      <c r="BO16" s="140"/>
      <c r="BP16" s="140"/>
      <c r="BQ16" s="140"/>
      <c r="BR16" s="140"/>
      <c r="BS16" s="140"/>
      <c r="BT16" s="140"/>
      <c r="BU16" s="140"/>
      <c r="BV16" s="140"/>
      <c r="BW16" s="140"/>
      <c r="BX16" s="140" t="str">
        <f>" " &amp; TEXT(AE16,"#0.00%") &amp; " "</f>
        <v xml:space="preserve"> 0.00% </v>
      </c>
      <c r="BY16" s="140"/>
      <c r="BZ16" s="140"/>
      <c r="CA16" s="140"/>
      <c r="CB16" s="140"/>
      <c r="CC16" s="140"/>
      <c r="CD16" s="140"/>
      <c r="CE16" s="140"/>
      <c r="CF16" s="140" t="str">
        <f>"      " &amp; "통합 테스트" &amp; "(신용윤,박세형)" &amp; " " &amp; IF(P16="","",TEXT(P16,"M/D-")) &amp; IF(Q16="","",TEXT(Q16,"M/D")) &amp; " "</f>
        <v xml:space="preserve">      통합 테스트(신용윤,박세형) 11/1-12/31 </v>
      </c>
      <c r="CG16" s="140"/>
    </row>
    <row r="17" spans="1:85" ht="12" customHeight="1" outlineLevel="3">
      <c r="A17" s="129"/>
      <c r="B17" s="129"/>
      <c r="C17" s="129">
        <v>4</v>
      </c>
      <c r="D17" s="233" t="s">
        <v>1427</v>
      </c>
      <c r="E17" s="225"/>
      <c r="F17" s="225"/>
      <c r="G17" s="225"/>
      <c r="H17" s="225" t="s">
        <v>1423</v>
      </c>
      <c r="I17" s="225"/>
      <c r="J17" s="225"/>
      <c r="K17" s="225"/>
      <c r="L17" s="225"/>
      <c r="M17" s="225"/>
      <c r="N17" s="225"/>
      <c r="O17" s="225"/>
      <c r="P17" s="226">
        <v>44501</v>
      </c>
      <c r="Q17" s="226">
        <v>44530</v>
      </c>
      <c r="R17" s="227"/>
      <c r="S17" s="228">
        <v>22</v>
      </c>
      <c r="T17" s="228">
        <v>0</v>
      </c>
      <c r="U17" s="228">
        <v>22</v>
      </c>
      <c r="V17" s="228">
        <v>0</v>
      </c>
      <c r="W17" s="226"/>
      <c r="X17" s="226"/>
      <c r="Y17" s="229"/>
      <c r="Z17" s="230">
        <v>0</v>
      </c>
      <c r="AA17" s="228"/>
      <c r="AB17" s="227" t="s">
        <v>1419</v>
      </c>
      <c r="AC17" s="231"/>
      <c r="AD17" s="232">
        <v>0</v>
      </c>
      <c r="AE17" s="165">
        <v>0</v>
      </c>
      <c r="AF17" s="139"/>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40"/>
      <c r="BL17" s="140"/>
      <c r="BM17" s="140"/>
      <c r="BN17" s="140"/>
      <c r="BO17" s="140"/>
      <c r="BP17" s="140"/>
      <c r="BQ17" s="140"/>
      <c r="BR17" s="140"/>
      <c r="BS17" s="140"/>
      <c r="BT17" s="140"/>
      <c r="BU17" s="140"/>
      <c r="BV17" s="140"/>
      <c r="BW17" s="140"/>
      <c r="BX17" s="140" t="str">
        <f>" " &amp; TEXT(AE17,"#0.00%") &amp; " "</f>
        <v xml:space="preserve"> 0.00% </v>
      </c>
      <c r="BY17" s="140"/>
      <c r="BZ17" s="140"/>
      <c r="CA17" s="140"/>
      <c r="CB17" s="140" t="str">
        <f>"   " &amp; "연동 테스트" &amp; "(박세형)" &amp; " " &amp; IF(P17="","",TEXT(P17,"M/D-")) &amp; IF(Q17="","",TEXT(Q17,"M/D")) &amp; " "</f>
        <v xml:space="preserve">   연동 테스트(박세형) 11/1-11/30 </v>
      </c>
      <c r="CC17" s="140"/>
      <c r="CD17" s="140"/>
      <c r="CE17" s="140"/>
      <c r="CF17" s="140"/>
      <c r="CG17" s="140"/>
    </row>
    <row r="18" spans="1:85" ht="12" customHeight="1" outlineLevel="3">
      <c r="A18" s="129"/>
      <c r="B18" s="129"/>
      <c r="C18" s="129">
        <v>4</v>
      </c>
      <c r="D18" s="233" t="s">
        <v>1428</v>
      </c>
      <c r="E18" s="225"/>
      <c r="F18" s="225"/>
      <c r="G18" s="225"/>
      <c r="H18" s="225" t="s">
        <v>1531</v>
      </c>
      <c r="I18" s="225"/>
      <c r="J18" s="225"/>
      <c r="K18" s="225"/>
      <c r="L18" s="225"/>
      <c r="M18" s="225"/>
      <c r="N18" s="225"/>
      <c r="O18" s="225"/>
      <c r="P18" s="226">
        <v>44531</v>
      </c>
      <c r="Q18" s="226">
        <v>44561</v>
      </c>
      <c r="R18" s="227"/>
      <c r="S18" s="228">
        <v>23</v>
      </c>
      <c r="T18" s="228">
        <v>0</v>
      </c>
      <c r="U18" s="228">
        <v>23</v>
      </c>
      <c r="V18" s="228">
        <v>0</v>
      </c>
      <c r="W18" s="226"/>
      <c r="X18" s="226"/>
      <c r="Y18" s="229"/>
      <c r="Z18" s="230">
        <v>0</v>
      </c>
      <c r="AA18" s="228"/>
      <c r="AB18" s="227" t="s">
        <v>1424</v>
      </c>
      <c r="AC18" s="231"/>
      <c r="AD18" s="232">
        <v>0</v>
      </c>
      <c r="AE18" s="165">
        <v>0</v>
      </c>
      <c r="AF18" s="139"/>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40"/>
      <c r="BL18" s="140"/>
      <c r="BM18" s="140"/>
      <c r="BN18" s="140"/>
      <c r="BO18" s="140"/>
      <c r="BP18" s="140"/>
      <c r="BQ18" s="140"/>
      <c r="BR18" s="140"/>
      <c r="BS18" s="140"/>
      <c r="BT18" s="140"/>
      <c r="BU18" s="140"/>
      <c r="BV18" s="140"/>
      <c r="BW18" s="140"/>
      <c r="BX18" s="140"/>
      <c r="BY18" s="140"/>
      <c r="BZ18" s="140"/>
      <c r="CA18" s="140"/>
      <c r="CB18" s="140" t="str">
        <f>"   " &amp; TEXT(AE18,"#0.00%") &amp; " "</f>
        <v xml:space="preserve">   0.00% </v>
      </c>
      <c r="CC18" s="140"/>
      <c r="CD18" s="140"/>
      <c r="CE18" s="140"/>
      <c r="CF18" s="140" t="str">
        <f>"      " &amp; "코드 안정화" &amp; "(신용윤)" &amp; " " &amp; IF(P18="","",TEXT(P18,"M/D-")) &amp; IF(Q18="","",TEXT(Q18,"M/D")) &amp; " "</f>
        <v xml:space="preserve">      코드 안정화(신용윤) 12/1-12/31 </v>
      </c>
      <c r="CG18" s="140"/>
    </row>
    <row r="19" spans="1:85" ht="12" customHeight="1" outlineLevel="1">
      <c r="A19" s="129"/>
      <c r="B19" s="129" t="s">
        <v>1353</v>
      </c>
      <c r="C19" s="129">
        <v>2</v>
      </c>
      <c r="D19" s="130" t="s">
        <v>1070</v>
      </c>
      <c r="E19" s="131"/>
      <c r="F19" s="131" t="s">
        <v>1397</v>
      </c>
      <c r="G19" s="131"/>
      <c r="H19" s="131"/>
      <c r="I19" s="131"/>
      <c r="J19" s="131"/>
      <c r="K19" s="131"/>
      <c r="L19" s="131"/>
      <c r="M19" s="131"/>
      <c r="N19" s="131"/>
      <c r="O19" s="131"/>
      <c r="P19" s="132">
        <v>44197</v>
      </c>
      <c r="Q19" s="132">
        <v>44561</v>
      </c>
      <c r="R19" s="133"/>
      <c r="S19" s="134">
        <v>482</v>
      </c>
      <c r="T19" s="134">
        <v>44</v>
      </c>
      <c r="U19" s="134">
        <v>252</v>
      </c>
      <c r="V19" s="134">
        <v>22</v>
      </c>
      <c r="W19" s="132"/>
      <c r="X19" s="132"/>
      <c r="Y19" s="135">
        <v>0</v>
      </c>
      <c r="Z19" s="136">
        <v>0</v>
      </c>
      <c r="AA19" s="134"/>
      <c r="AB19" s="133" t="s">
        <v>1403</v>
      </c>
      <c r="AC19" s="137"/>
      <c r="AD19" s="138">
        <v>9.1286307053941904E-2</v>
      </c>
      <c r="AE19" s="196">
        <v>0</v>
      </c>
      <c r="AF19" s="139" t="str">
        <f>"     " &amp; TEXT(AE19,"#0.00%") &amp; " "</f>
        <v xml:space="preserve">     0.00% </v>
      </c>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40"/>
      <c r="BL19" s="140"/>
      <c r="BM19" s="140"/>
      <c r="BN19" s="140"/>
      <c r="BO19" s="140"/>
      <c r="BP19" s="140"/>
      <c r="BQ19" s="140"/>
      <c r="BR19" s="140"/>
      <c r="BS19" s="140"/>
      <c r="BT19" s="140"/>
      <c r="BU19" s="140"/>
      <c r="BV19" s="140"/>
      <c r="BW19" s="140"/>
      <c r="BX19" s="140"/>
      <c r="BY19" s="140"/>
      <c r="BZ19" s="140"/>
      <c r="CA19" s="140"/>
      <c r="CB19" s="140"/>
      <c r="CC19" s="140"/>
      <c r="CD19" s="140"/>
      <c r="CE19" s="140"/>
      <c r="CF19" s="140" t="str">
        <f>"      " &amp; "KeyValue Store 개선" &amp; "(신용윤,박세형)" &amp; " " &amp; IF(P19="","",TEXT(P19,"M/D-")) &amp; IF(Q19="","",TEXT(Q19,"M/D")) &amp; " "</f>
        <v xml:space="preserve">      KeyValue Store 개선(신용윤,박세형) 1/1-12/31 </v>
      </c>
      <c r="CG19" s="140"/>
    </row>
    <row r="20" spans="1:85" ht="12" customHeight="1" outlineLevel="2">
      <c r="A20" s="129"/>
      <c r="B20" s="129" t="s">
        <v>1353</v>
      </c>
      <c r="C20" s="129">
        <v>3</v>
      </c>
      <c r="D20" s="208" t="s">
        <v>1071</v>
      </c>
      <c r="E20" s="209"/>
      <c r="F20" s="209"/>
      <c r="G20" s="209" t="s">
        <v>1404</v>
      </c>
      <c r="H20" s="209"/>
      <c r="I20" s="209"/>
      <c r="J20" s="209"/>
      <c r="K20" s="209"/>
      <c r="L20" s="209"/>
      <c r="M20" s="209"/>
      <c r="N20" s="209"/>
      <c r="O20" s="209"/>
      <c r="P20" s="219">
        <v>44197</v>
      </c>
      <c r="Q20" s="219">
        <v>44286</v>
      </c>
      <c r="R20" s="218"/>
      <c r="S20" s="220">
        <v>142</v>
      </c>
      <c r="T20" s="220">
        <v>44</v>
      </c>
      <c r="U20" s="220">
        <v>60</v>
      </c>
      <c r="V20" s="220">
        <v>22</v>
      </c>
      <c r="W20" s="219"/>
      <c r="X20" s="219"/>
      <c r="Y20" s="221">
        <v>0</v>
      </c>
      <c r="Z20" s="222">
        <v>0</v>
      </c>
      <c r="AA20" s="220"/>
      <c r="AB20" s="218" t="s">
        <v>1403</v>
      </c>
      <c r="AC20" s="223" t="s">
        <v>1431</v>
      </c>
      <c r="AD20" s="224">
        <v>0.30985915492957744</v>
      </c>
      <c r="AE20" s="196">
        <v>0</v>
      </c>
      <c r="AF20" s="139" t="str">
        <f>"     " &amp; TEXT(AE20,"#0.00%") &amp; " "</f>
        <v xml:space="preserve">     0.00% </v>
      </c>
      <c r="AG20" s="140"/>
      <c r="AH20" s="140"/>
      <c r="AI20" s="140"/>
      <c r="AJ20" s="140"/>
      <c r="AK20" s="140"/>
      <c r="AL20" s="140"/>
      <c r="AM20" s="140"/>
      <c r="AN20" s="140"/>
      <c r="AO20" s="140"/>
      <c r="AP20" s="140"/>
      <c r="AQ20" s="140"/>
      <c r="AR20" s="140"/>
      <c r="AS20" s="140" t="str">
        <f>"    " &amp; "기능 정의 및 설계" &amp; "(신용윤,박세형)" &amp; " " &amp; IF(P20="","",TEXT(P20,"M/D-")) &amp; IF(Q20="","",TEXT(Q20,"M/D")) &amp; " "</f>
        <v xml:space="preserve">    기능 정의 및 설계(신용윤,박세형) 1/1-3/31 </v>
      </c>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row>
    <row r="21" spans="1:85" ht="12" customHeight="1" outlineLevel="3">
      <c r="A21" s="129"/>
      <c r="B21" s="129"/>
      <c r="C21" s="129">
        <v>4</v>
      </c>
      <c r="D21" s="233" t="s">
        <v>1442</v>
      </c>
      <c r="E21" s="225"/>
      <c r="F21" s="225"/>
      <c r="G21" s="225"/>
      <c r="H21" s="225" t="s">
        <v>1405</v>
      </c>
      <c r="I21" s="225"/>
      <c r="J21" s="225"/>
      <c r="K21" s="225"/>
      <c r="L21" s="225"/>
      <c r="M21" s="225"/>
      <c r="N21" s="225"/>
      <c r="O21" s="225"/>
      <c r="P21" s="226">
        <v>44197</v>
      </c>
      <c r="Q21" s="226">
        <v>44255</v>
      </c>
      <c r="R21" s="227"/>
      <c r="S21" s="228">
        <v>76</v>
      </c>
      <c r="T21" s="228">
        <v>44</v>
      </c>
      <c r="U21" s="228">
        <v>38</v>
      </c>
      <c r="V21" s="228">
        <v>22</v>
      </c>
      <c r="W21" s="226"/>
      <c r="X21" s="226"/>
      <c r="Y21" s="229"/>
      <c r="Z21" s="230">
        <v>0</v>
      </c>
      <c r="AA21" s="228"/>
      <c r="AB21" s="227" t="s">
        <v>1403</v>
      </c>
      <c r="AC21" s="231"/>
      <c r="AD21" s="232">
        <v>0.57894736842105265</v>
      </c>
      <c r="AE21" s="195">
        <v>0</v>
      </c>
      <c r="AF21" s="139" t="str">
        <f>"     " &amp; TEXT(AE21,"#0.00%") &amp; " "</f>
        <v xml:space="preserve">     0.00% </v>
      </c>
      <c r="AG21" s="140"/>
      <c r="AH21" s="140"/>
      <c r="AI21" s="140"/>
      <c r="AJ21" s="140"/>
      <c r="AK21" s="140"/>
      <c r="AL21" s="140"/>
      <c r="AM21" s="140"/>
      <c r="AN21" s="140"/>
      <c r="AO21" s="140" t="str">
        <f>" " &amp; "필수 기능 정의" &amp; "(신용윤,박세형)" &amp; " " &amp; IF(P21="","",TEXT(P21,"M/D-")) &amp; IF(Q21="","",TEXT(Q21,"M/D")) &amp; " "</f>
        <v xml:space="preserve"> 필수 기능 정의(신용윤,박세형) 1/1-2/28 </v>
      </c>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40"/>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row>
    <row r="22" spans="1:85" ht="12" customHeight="1" outlineLevel="3">
      <c r="A22" s="129"/>
      <c r="B22" s="129"/>
      <c r="C22" s="129">
        <v>4</v>
      </c>
      <c r="D22" s="233" t="s">
        <v>1443</v>
      </c>
      <c r="E22" s="225"/>
      <c r="F22" s="225"/>
      <c r="G22" s="225"/>
      <c r="H22" s="225" t="s">
        <v>1449</v>
      </c>
      <c r="I22" s="225"/>
      <c r="J22" s="225"/>
      <c r="K22" s="225"/>
      <c r="L22" s="225"/>
      <c r="M22" s="225"/>
      <c r="N22" s="225"/>
      <c r="O22" s="225"/>
      <c r="P22" s="226">
        <v>44256</v>
      </c>
      <c r="Q22" s="226">
        <v>44286</v>
      </c>
      <c r="R22" s="227"/>
      <c r="S22" s="228">
        <v>44</v>
      </c>
      <c r="T22" s="228">
        <v>0</v>
      </c>
      <c r="U22" s="228">
        <v>22</v>
      </c>
      <c r="V22" s="228">
        <v>0</v>
      </c>
      <c r="W22" s="226"/>
      <c r="X22" s="226"/>
      <c r="Y22" s="229"/>
      <c r="Z22" s="230">
        <v>0</v>
      </c>
      <c r="AA22" s="228"/>
      <c r="AB22" s="227" t="s">
        <v>1403</v>
      </c>
      <c r="AC22" s="231"/>
      <c r="AD22" s="232">
        <v>0</v>
      </c>
      <c r="AE22" s="165">
        <v>0</v>
      </c>
      <c r="AF22" s="139"/>
      <c r="AG22" s="140"/>
      <c r="AH22" s="140"/>
      <c r="AI22" s="140"/>
      <c r="AJ22" s="140"/>
      <c r="AK22" s="140"/>
      <c r="AL22" s="140"/>
      <c r="AM22" s="140"/>
      <c r="AN22" s="140"/>
      <c r="AO22" s="140" t="str">
        <f>" " &amp; TEXT(AE22,"#0.00%") &amp; " "</f>
        <v xml:space="preserve"> 0.00% </v>
      </c>
      <c r="AP22" s="140"/>
      <c r="AQ22" s="140"/>
      <c r="AR22" s="140"/>
      <c r="AS22" s="140" t="str">
        <f>"    " &amp; "KeyValue Store 기능 설계" &amp; "(신용윤,박세형)" &amp; " " &amp; IF(P22="","",TEXT(P22,"M/D-")) &amp; IF(Q22="","",TEXT(Q22,"M/D")) &amp; " "</f>
        <v xml:space="preserve">    KeyValue Store 기능 설계(신용윤,박세형) 3/1-3/31 </v>
      </c>
      <c r="AT22" s="140"/>
      <c r="AU22" s="140"/>
      <c r="AV22" s="140"/>
      <c r="AW22" s="140"/>
      <c r="AX22" s="140"/>
      <c r="AY22" s="140"/>
      <c r="AZ22" s="140"/>
      <c r="BA22" s="140"/>
      <c r="BB22" s="140"/>
      <c r="BC22" s="140"/>
      <c r="BD22" s="140"/>
      <c r="BE22" s="140"/>
      <c r="BF22" s="140"/>
      <c r="BG22" s="140"/>
      <c r="BH22" s="140"/>
      <c r="BI22" s="140"/>
      <c r="BJ22" s="140"/>
      <c r="BK22" s="140"/>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row>
    <row r="23" spans="1:85" ht="12" customHeight="1" outlineLevel="3">
      <c r="A23" s="129"/>
      <c r="B23" s="129"/>
      <c r="C23" s="129">
        <v>4</v>
      </c>
      <c r="D23" s="233" t="s">
        <v>1537</v>
      </c>
      <c r="E23" s="225"/>
      <c r="F23" s="225"/>
      <c r="G23" s="225"/>
      <c r="H23" s="225" t="s">
        <v>1533</v>
      </c>
      <c r="I23" s="225"/>
      <c r="J23" s="225"/>
      <c r="K23" s="225"/>
      <c r="L23" s="225"/>
      <c r="M23" s="225"/>
      <c r="N23" s="225"/>
      <c r="O23" s="225"/>
      <c r="P23" s="226">
        <v>44256</v>
      </c>
      <c r="Q23" s="226">
        <v>44286</v>
      </c>
      <c r="R23" s="227"/>
      <c r="S23" s="228">
        <v>22</v>
      </c>
      <c r="T23" s="228">
        <v>0</v>
      </c>
      <c r="U23" s="228">
        <v>22</v>
      </c>
      <c r="V23" s="228">
        <v>0</v>
      </c>
      <c r="W23" s="226"/>
      <c r="X23" s="226"/>
      <c r="Y23" s="229"/>
      <c r="Z23" s="230">
        <v>0</v>
      </c>
      <c r="AA23" s="228"/>
      <c r="AB23" s="227" t="s">
        <v>1424</v>
      </c>
      <c r="AC23" s="231"/>
      <c r="AD23" s="232">
        <v>0</v>
      </c>
      <c r="AE23" s="165">
        <v>0</v>
      </c>
      <c r="AF23" s="139"/>
      <c r="AG23" s="140"/>
      <c r="AH23" s="140"/>
      <c r="AI23" s="140"/>
      <c r="AJ23" s="140"/>
      <c r="AK23" s="140"/>
      <c r="AL23" s="140"/>
      <c r="AM23" s="140"/>
      <c r="AN23" s="140"/>
      <c r="AO23" s="140" t="str">
        <f>" " &amp; TEXT(AE23,"#0.00%") &amp; " "</f>
        <v xml:space="preserve"> 0.00% </v>
      </c>
      <c r="AP23" s="140"/>
      <c r="AQ23" s="140"/>
      <c r="AR23" s="140"/>
      <c r="AS23" s="140" t="str">
        <f>"    " &amp; "naming 체계 일원화" &amp; "(신용윤)" &amp; " " &amp; IF(P23="","",TEXT(P23,"M/D-")) &amp; IF(Q23="","",TEXT(Q23,"M/D")) &amp; " "</f>
        <v xml:space="preserve">    naming 체계 일원화(신용윤) 3/1-3/31 </v>
      </c>
      <c r="AT23" s="140"/>
      <c r="AU23" s="140"/>
      <c r="AV23" s="140"/>
      <c r="AW23" s="140"/>
      <c r="AX23" s="140"/>
      <c r="AY23" s="140"/>
      <c r="AZ23" s="140"/>
      <c r="BA23" s="140"/>
      <c r="BB23" s="140"/>
      <c r="BC23" s="140"/>
      <c r="BD23" s="140"/>
      <c r="BE23" s="140"/>
      <c r="BF23" s="140"/>
      <c r="BG23" s="140"/>
      <c r="BH23" s="140"/>
      <c r="BI23" s="140"/>
      <c r="BJ23" s="140"/>
      <c r="BK23" s="140"/>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row>
    <row r="24" spans="1:85" ht="12" customHeight="1" outlineLevel="2">
      <c r="A24" s="129"/>
      <c r="B24" s="129" t="s">
        <v>1353</v>
      </c>
      <c r="C24" s="129">
        <v>3</v>
      </c>
      <c r="D24" s="208" t="s">
        <v>1078</v>
      </c>
      <c r="E24" s="209"/>
      <c r="F24" s="209"/>
      <c r="G24" s="209" t="s">
        <v>1416</v>
      </c>
      <c r="H24" s="209"/>
      <c r="I24" s="209"/>
      <c r="J24" s="209"/>
      <c r="K24" s="209"/>
      <c r="L24" s="209"/>
      <c r="M24" s="209"/>
      <c r="N24" s="209"/>
      <c r="O24" s="209"/>
      <c r="P24" s="219">
        <v>44287</v>
      </c>
      <c r="Q24" s="219">
        <v>44377</v>
      </c>
      <c r="R24" s="218"/>
      <c r="S24" s="220">
        <v>189</v>
      </c>
      <c r="T24" s="220">
        <v>0</v>
      </c>
      <c r="U24" s="220">
        <v>63</v>
      </c>
      <c r="V24" s="220">
        <v>0</v>
      </c>
      <c r="W24" s="219"/>
      <c r="X24" s="219"/>
      <c r="Y24" s="221">
        <v>0</v>
      </c>
      <c r="Z24" s="222">
        <v>0</v>
      </c>
      <c r="AA24" s="220"/>
      <c r="AB24" s="218" t="s">
        <v>1419</v>
      </c>
      <c r="AC24" s="223" t="s">
        <v>1432</v>
      </c>
      <c r="AD24" s="224">
        <v>0</v>
      </c>
      <c r="AE24" s="193">
        <v>0</v>
      </c>
      <c r="AF24" s="139"/>
      <c r="AG24" s="140"/>
      <c r="AH24" s="140"/>
      <c r="AI24" s="140"/>
      <c r="AJ24" s="140"/>
      <c r="AK24" s="140"/>
      <c r="AL24" s="140"/>
      <c r="AM24" s="140"/>
      <c r="AN24" s="140"/>
      <c r="AO24" s="140"/>
      <c r="AP24" s="140"/>
      <c r="AQ24" s="140"/>
      <c r="AR24" s="140"/>
      <c r="AS24" s="140" t="str">
        <f>"    " &amp; TEXT(AE24,"#0.00%") &amp; " "</f>
        <v xml:space="preserve">    0.00% </v>
      </c>
      <c r="AT24" s="140"/>
      <c r="AU24" s="140"/>
      <c r="AV24" s="140"/>
      <c r="AW24" s="140"/>
      <c r="AX24" s="140"/>
      <c r="AY24" s="140"/>
      <c r="AZ24" s="140"/>
      <c r="BA24" s="140"/>
      <c r="BB24" s="140"/>
      <c r="BC24" s="140"/>
      <c r="BD24" s="140"/>
      <c r="BE24" s="140"/>
      <c r="BF24" s="140" t="str">
        <f>"    " &amp; "기능 구현" &amp; "(박세형)" &amp; " " &amp; IF(P24="","",TEXT(P24,"M/D-")) &amp; IF(Q24="","",TEXT(Q24,"M/D")) &amp; " "</f>
        <v xml:space="preserve">    기능 구현(박세형) 4/1-6/30 </v>
      </c>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row>
    <row r="25" spans="1:85" ht="12" customHeight="1" outlineLevel="3">
      <c r="A25" s="129"/>
      <c r="B25" s="129"/>
      <c r="C25" s="129">
        <v>4</v>
      </c>
      <c r="D25" s="233" t="s">
        <v>1444</v>
      </c>
      <c r="E25" s="225"/>
      <c r="F25" s="225"/>
      <c r="G25" s="225"/>
      <c r="H25" s="225" t="s">
        <v>1544</v>
      </c>
      <c r="I25" s="225"/>
      <c r="J25" s="225"/>
      <c r="K25" s="225"/>
      <c r="L25" s="225"/>
      <c r="M25" s="225"/>
      <c r="N25" s="225"/>
      <c r="O25" s="225"/>
      <c r="P25" s="226">
        <v>44287</v>
      </c>
      <c r="Q25" s="226">
        <v>44377</v>
      </c>
      <c r="R25" s="227"/>
      <c r="S25" s="228">
        <v>63</v>
      </c>
      <c r="T25" s="228">
        <v>0</v>
      </c>
      <c r="U25" s="228">
        <v>63</v>
      </c>
      <c r="V25" s="228">
        <v>0</v>
      </c>
      <c r="W25" s="226"/>
      <c r="X25" s="226"/>
      <c r="Y25" s="229"/>
      <c r="Z25" s="230">
        <v>0</v>
      </c>
      <c r="AA25" s="228"/>
      <c r="AB25" s="227" t="s">
        <v>1419</v>
      </c>
      <c r="AC25" s="231"/>
      <c r="AD25" s="232">
        <v>0</v>
      </c>
      <c r="AE25" s="165">
        <v>0</v>
      </c>
      <c r="AF25" s="139"/>
      <c r="AG25" s="140"/>
      <c r="AH25" s="140"/>
      <c r="AI25" s="140"/>
      <c r="AJ25" s="140"/>
      <c r="AK25" s="140"/>
      <c r="AL25" s="140"/>
      <c r="AM25" s="140"/>
      <c r="AN25" s="140"/>
      <c r="AO25" s="140"/>
      <c r="AP25" s="140"/>
      <c r="AQ25" s="140"/>
      <c r="AR25" s="140"/>
      <c r="AS25" s="140" t="str">
        <f>"    " &amp; TEXT(AE25,"#0.00%") &amp; " "</f>
        <v xml:space="preserve">    0.00% </v>
      </c>
      <c r="AT25" s="140"/>
      <c r="AU25" s="140"/>
      <c r="AV25" s="140"/>
      <c r="AW25" s="140"/>
      <c r="AX25" s="140"/>
      <c r="AY25" s="140"/>
      <c r="AZ25" s="140"/>
      <c r="BA25" s="140"/>
      <c r="BB25" s="140"/>
      <c r="BC25" s="140"/>
      <c r="BD25" s="140"/>
      <c r="BE25" s="140"/>
      <c r="BF25" s="140" t="str">
        <f>"    " &amp; "nosql 적용 구현" &amp; "(박세형)" &amp; " " &amp; IF(P25="","",TEXT(P25,"M/D-")) &amp; IF(Q25="","",TEXT(Q25,"M/D")) &amp; " "</f>
        <v xml:space="preserve">    nosql 적용 구현(박세형) 4/1-6/30 </v>
      </c>
      <c r="BG25" s="140"/>
      <c r="BH25" s="140"/>
      <c r="BI25" s="140"/>
      <c r="BJ25" s="140"/>
      <c r="BK25" s="140"/>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row>
    <row r="26" spans="1:85" ht="12" customHeight="1" outlineLevel="3">
      <c r="A26" s="129"/>
      <c r="B26" s="129"/>
      <c r="C26" s="129">
        <v>4</v>
      </c>
      <c r="D26" s="233" t="s">
        <v>1520</v>
      </c>
      <c r="E26" s="225"/>
      <c r="F26" s="225"/>
      <c r="G26" s="225"/>
      <c r="H26" s="225" t="s">
        <v>1545</v>
      </c>
      <c r="I26" s="225"/>
      <c r="J26" s="225"/>
      <c r="K26" s="225"/>
      <c r="L26" s="225"/>
      <c r="M26" s="225"/>
      <c r="N26" s="225"/>
      <c r="O26" s="225"/>
      <c r="P26" s="226">
        <v>44287</v>
      </c>
      <c r="Q26" s="226">
        <v>44377</v>
      </c>
      <c r="R26" s="227"/>
      <c r="S26" s="228">
        <v>63</v>
      </c>
      <c r="T26" s="228">
        <v>0</v>
      </c>
      <c r="U26" s="228">
        <v>63</v>
      </c>
      <c r="V26" s="228">
        <v>0</v>
      </c>
      <c r="W26" s="226"/>
      <c r="X26" s="226"/>
      <c r="Y26" s="229"/>
      <c r="Z26" s="230">
        <v>0</v>
      </c>
      <c r="AA26" s="228"/>
      <c r="AB26" s="227" t="s">
        <v>1419</v>
      </c>
      <c r="AC26" s="231"/>
      <c r="AD26" s="232">
        <v>0</v>
      </c>
      <c r="AE26" s="165">
        <v>0</v>
      </c>
      <c r="AF26" s="139"/>
      <c r="AG26" s="140"/>
      <c r="AH26" s="140"/>
      <c r="AI26" s="140"/>
      <c r="AJ26" s="140"/>
      <c r="AK26" s="140"/>
      <c r="AL26" s="140"/>
      <c r="AM26" s="140"/>
      <c r="AN26" s="140"/>
      <c r="AO26" s="140"/>
      <c r="AP26" s="140"/>
      <c r="AQ26" s="140"/>
      <c r="AR26" s="140"/>
      <c r="AS26" s="140" t="str">
        <f>"    " &amp; TEXT(AE26,"#0.00%") &amp; " "</f>
        <v xml:space="preserve">    0.00% </v>
      </c>
      <c r="AT26" s="140"/>
      <c r="AU26" s="140"/>
      <c r="AV26" s="140"/>
      <c r="AW26" s="140"/>
      <c r="AX26" s="140"/>
      <c r="AY26" s="140"/>
      <c r="AZ26" s="140"/>
      <c r="BA26" s="140"/>
      <c r="BB26" s="140"/>
      <c r="BC26" s="140"/>
      <c r="BD26" s="140"/>
      <c r="BE26" s="140"/>
      <c r="BF26" s="140" t="str">
        <f>"    " &amp; "ForwardingHint 적용 구현" &amp; "(박세형)" &amp; " " &amp; IF(P26="","",TEXT(P26,"M/D-")) &amp; IF(Q26="","",TEXT(Q26,"M/D")) &amp; " "</f>
        <v xml:space="preserve">    ForwardingHint 적용 구현(박세형) 4/1-6/30 </v>
      </c>
      <c r="BG26" s="140"/>
      <c r="BH26" s="140"/>
      <c r="BI26" s="140"/>
      <c r="BJ26" s="140"/>
      <c r="BK26" s="140"/>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row>
    <row r="27" spans="1:85" ht="12" customHeight="1" outlineLevel="3">
      <c r="A27" s="129"/>
      <c r="B27" s="129"/>
      <c r="C27" s="129">
        <v>4</v>
      </c>
      <c r="D27" s="233" t="s">
        <v>1521</v>
      </c>
      <c r="E27" s="225"/>
      <c r="F27" s="225"/>
      <c r="G27" s="225"/>
      <c r="H27" s="225" t="s">
        <v>1543</v>
      </c>
      <c r="I27" s="225"/>
      <c r="J27" s="225"/>
      <c r="K27" s="225"/>
      <c r="L27" s="225"/>
      <c r="M27" s="225"/>
      <c r="N27" s="225"/>
      <c r="O27" s="225"/>
      <c r="P27" s="226">
        <v>44287</v>
      </c>
      <c r="Q27" s="226">
        <v>44377</v>
      </c>
      <c r="R27" s="227"/>
      <c r="S27" s="228">
        <v>63</v>
      </c>
      <c r="T27" s="228">
        <v>0</v>
      </c>
      <c r="U27" s="228">
        <v>63</v>
      </c>
      <c r="V27" s="228">
        <v>0</v>
      </c>
      <c r="W27" s="226"/>
      <c r="X27" s="226"/>
      <c r="Y27" s="229"/>
      <c r="Z27" s="230">
        <v>0</v>
      </c>
      <c r="AA27" s="228"/>
      <c r="AB27" s="227" t="s">
        <v>1419</v>
      </c>
      <c r="AC27" s="231"/>
      <c r="AD27" s="232">
        <v>0</v>
      </c>
      <c r="AE27" s="165">
        <v>0</v>
      </c>
      <c r="AF27" s="139"/>
      <c r="AG27" s="140"/>
      <c r="AH27" s="140"/>
      <c r="AI27" s="140"/>
      <c r="AJ27" s="140"/>
      <c r="AK27" s="140"/>
      <c r="AL27" s="140"/>
      <c r="AM27" s="140"/>
      <c r="AN27" s="140"/>
      <c r="AO27" s="140"/>
      <c r="AP27" s="140"/>
      <c r="AQ27" s="140"/>
      <c r="AR27" s="140"/>
      <c r="AS27" s="140" t="str">
        <f>"    " &amp; TEXT(AE27,"#0.00%") &amp; " "</f>
        <v xml:space="preserve">    0.00% </v>
      </c>
      <c r="AT27" s="140"/>
      <c r="AU27" s="140"/>
      <c r="AV27" s="140"/>
      <c r="AW27" s="140"/>
      <c r="AX27" s="140"/>
      <c r="AY27" s="140"/>
      <c r="AZ27" s="140"/>
      <c r="BA27" s="140"/>
      <c r="BB27" s="140"/>
      <c r="BC27" s="140"/>
      <c r="BD27" s="140"/>
      <c r="BE27" s="140"/>
      <c r="BF27" s="140" t="str">
        <f>"    " &amp; "naming 체계 일원화 구현" &amp; "(박세형)" &amp; " " &amp; IF(P27="","",TEXT(P27,"M/D-")) &amp; IF(Q27="","",TEXT(Q27,"M/D")) &amp; " "</f>
        <v xml:space="preserve">    naming 체계 일원화 구현(박세형) 4/1-6/30 </v>
      </c>
      <c r="BG27" s="140"/>
      <c r="BH27" s="140"/>
      <c r="BI27" s="140"/>
      <c r="BJ27" s="140"/>
      <c r="BK27" s="140"/>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row>
    <row r="28" spans="1:85" ht="12" customHeight="1" outlineLevel="2">
      <c r="A28" s="129"/>
      <c r="B28" s="129" t="s">
        <v>1353</v>
      </c>
      <c r="C28" s="129">
        <v>3</v>
      </c>
      <c r="D28" s="208" t="s">
        <v>1363</v>
      </c>
      <c r="E28" s="209"/>
      <c r="F28" s="209"/>
      <c r="G28" s="209" t="s">
        <v>1417</v>
      </c>
      <c r="H28" s="209"/>
      <c r="I28" s="209"/>
      <c r="J28" s="209"/>
      <c r="K28" s="209"/>
      <c r="L28" s="209"/>
      <c r="M28" s="209"/>
      <c r="N28" s="209"/>
      <c r="O28" s="209"/>
      <c r="P28" s="219">
        <v>44378</v>
      </c>
      <c r="Q28" s="219">
        <v>44408</v>
      </c>
      <c r="R28" s="218"/>
      <c r="S28" s="220">
        <v>22</v>
      </c>
      <c r="T28" s="220">
        <v>0</v>
      </c>
      <c r="U28" s="220">
        <v>22</v>
      </c>
      <c r="V28" s="220">
        <v>0</v>
      </c>
      <c r="W28" s="219"/>
      <c r="X28" s="219"/>
      <c r="Y28" s="221">
        <v>0</v>
      </c>
      <c r="Z28" s="222">
        <v>0</v>
      </c>
      <c r="AA28" s="220"/>
      <c r="AB28" s="218" t="s">
        <v>1419</v>
      </c>
      <c r="AC28" s="223"/>
      <c r="AD28" s="224">
        <v>0</v>
      </c>
      <c r="AE28" s="193">
        <v>0</v>
      </c>
      <c r="AF28" s="139"/>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t="str">
        <f>"    " &amp; TEXT(AE28,"#0.00%") &amp; " "</f>
        <v xml:space="preserve">    0.00% </v>
      </c>
      <c r="BG28" s="140"/>
      <c r="BH28" s="140"/>
      <c r="BI28" s="140"/>
      <c r="BJ28" s="140"/>
      <c r="BK28" s="140" t="str">
        <f>"" &amp; "기능 테스트 및 디버깅" &amp; "(박세형)" &amp; " " &amp; IF(P28="","",TEXT(P28,"M/D-")) &amp; IF(Q28="","",TEXT(Q28,"M/D")) &amp; " "</f>
        <v xml:space="preserve">기능 테스트 및 디버깅(박세형) 7/1-7/31 </v>
      </c>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row>
    <row r="29" spans="1:85" ht="12" customHeight="1" outlineLevel="3">
      <c r="A29" s="129"/>
      <c r="B29" s="129"/>
      <c r="C29" s="129">
        <v>4</v>
      </c>
      <c r="D29" s="233" t="s">
        <v>1445</v>
      </c>
      <c r="E29" s="225"/>
      <c r="F29" s="225"/>
      <c r="G29" s="225"/>
      <c r="H29" s="225" t="s">
        <v>1437</v>
      </c>
      <c r="I29" s="225"/>
      <c r="J29" s="225"/>
      <c r="K29" s="225"/>
      <c r="L29" s="225"/>
      <c r="M29" s="225"/>
      <c r="N29" s="225"/>
      <c r="O29" s="225"/>
      <c r="P29" s="226">
        <v>44378</v>
      </c>
      <c r="Q29" s="226">
        <v>44408</v>
      </c>
      <c r="R29" s="227"/>
      <c r="S29" s="228">
        <v>22</v>
      </c>
      <c r="T29" s="228">
        <v>0</v>
      </c>
      <c r="U29" s="228">
        <v>22</v>
      </c>
      <c r="V29" s="228">
        <v>0</v>
      </c>
      <c r="W29" s="226"/>
      <c r="X29" s="226"/>
      <c r="Y29" s="229"/>
      <c r="Z29" s="230">
        <v>0</v>
      </c>
      <c r="AA29" s="228"/>
      <c r="AB29" s="227" t="s">
        <v>1419</v>
      </c>
      <c r="AC29" s="231"/>
      <c r="AD29" s="232">
        <v>0</v>
      </c>
      <c r="AE29" s="165">
        <v>0</v>
      </c>
      <c r="AF29" s="139"/>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t="str">
        <f>"    " &amp; TEXT(AE29,"#0.00%") &amp; " "</f>
        <v xml:space="preserve">    0.00% </v>
      </c>
      <c r="BG29" s="140"/>
      <c r="BH29" s="140"/>
      <c r="BI29" s="140"/>
      <c r="BJ29" s="140"/>
      <c r="BK29" s="140" t="str">
        <f>"" &amp; "유닛 테스트 및 디버깅" &amp; "(박세형)" &amp; " " &amp; IF(P29="","",TEXT(P29,"M/D-")) &amp; IF(Q29="","",TEXT(Q29,"M/D")) &amp; " "</f>
        <v xml:space="preserve">유닛 테스트 및 디버깅(박세형) 7/1-7/31 </v>
      </c>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row>
    <row r="30" spans="1:85" ht="12" customHeight="1" outlineLevel="2">
      <c r="A30" s="129">
        <v>0</v>
      </c>
      <c r="B30" s="129" t="s">
        <v>1353</v>
      </c>
      <c r="C30" s="129">
        <v>3</v>
      </c>
      <c r="D30" s="208" t="s">
        <v>1364</v>
      </c>
      <c r="E30" s="209"/>
      <c r="F30" s="209"/>
      <c r="G30" s="209" t="s">
        <v>1530</v>
      </c>
      <c r="H30" s="209"/>
      <c r="I30" s="209"/>
      <c r="J30" s="209"/>
      <c r="K30" s="209"/>
      <c r="L30" s="209"/>
      <c r="M30" s="209"/>
      <c r="N30" s="209"/>
      <c r="O30" s="209"/>
      <c r="P30" s="219">
        <v>44409</v>
      </c>
      <c r="Q30" s="219">
        <v>44561</v>
      </c>
      <c r="R30" s="218"/>
      <c r="S30" s="220">
        <v>129</v>
      </c>
      <c r="T30" s="220">
        <v>0</v>
      </c>
      <c r="U30" s="220">
        <v>107</v>
      </c>
      <c r="V30" s="220">
        <v>0</v>
      </c>
      <c r="W30" s="219"/>
      <c r="X30" s="219"/>
      <c r="Y30" s="221">
        <v>0</v>
      </c>
      <c r="Z30" s="222">
        <v>0</v>
      </c>
      <c r="AA30" s="220"/>
      <c r="AB30" s="218" t="s">
        <v>1403</v>
      </c>
      <c r="AC30" s="223"/>
      <c r="AD30" s="224">
        <v>0</v>
      </c>
      <c r="AE30" s="193">
        <v>0</v>
      </c>
      <c r="AF30" s="139"/>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40" t="str">
        <f>"" &amp; TEXT(AE30,"#0.00%") &amp; " "</f>
        <v xml:space="preserve">0.00% </v>
      </c>
      <c r="BL30" s="140"/>
      <c r="BM30" s="140"/>
      <c r="BN30" s="140"/>
      <c r="BO30" s="140"/>
      <c r="BP30" s="140"/>
      <c r="BQ30" s="140"/>
      <c r="BR30" s="140"/>
      <c r="BS30" s="140"/>
      <c r="BT30" s="140"/>
      <c r="BU30" s="140"/>
      <c r="BV30" s="140"/>
      <c r="BW30" s="140"/>
      <c r="BX30" s="140"/>
      <c r="BY30" s="140"/>
      <c r="BZ30" s="140"/>
      <c r="CA30" s="140"/>
      <c r="CB30" s="140"/>
      <c r="CC30" s="140"/>
      <c r="CD30" s="140"/>
      <c r="CE30" s="140"/>
      <c r="CF30" s="140" t="str">
        <f>"      " &amp; "통합 테스트" &amp; "(신용윤,박세형)" &amp; " " &amp; IF(P30="","",TEXT(P30,"M/D-")) &amp; IF(Q30="","",TEXT(Q30,"M/D")) &amp; " "</f>
        <v xml:space="preserve">      통합 테스트(신용윤,박세형) 8/1-12/31 </v>
      </c>
      <c r="CG30" s="140"/>
    </row>
    <row r="31" spans="1:85" ht="12" customHeight="1" outlineLevel="3">
      <c r="A31" s="129"/>
      <c r="B31" s="129"/>
      <c r="C31" s="129">
        <v>4</v>
      </c>
      <c r="D31" s="233" t="s">
        <v>1433</v>
      </c>
      <c r="E31" s="225"/>
      <c r="F31" s="225"/>
      <c r="G31" s="225"/>
      <c r="H31" s="225" t="s">
        <v>1423</v>
      </c>
      <c r="I31" s="225"/>
      <c r="J31" s="225"/>
      <c r="K31" s="225"/>
      <c r="L31" s="225"/>
      <c r="M31" s="225"/>
      <c r="N31" s="225"/>
      <c r="O31" s="225"/>
      <c r="P31" s="226">
        <v>44409</v>
      </c>
      <c r="Q31" s="226">
        <v>44530</v>
      </c>
      <c r="R31" s="227"/>
      <c r="S31" s="228">
        <v>84</v>
      </c>
      <c r="T31" s="228">
        <v>0</v>
      </c>
      <c r="U31" s="228">
        <v>84</v>
      </c>
      <c r="V31" s="228">
        <v>0</v>
      </c>
      <c r="W31" s="226"/>
      <c r="X31" s="226"/>
      <c r="Y31" s="229"/>
      <c r="Z31" s="230">
        <v>0</v>
      </c>
      <c r="AA31" s="228"/>
      <c r="AB31" s="227" t="s">
        <v>1424</v>
      </c>
      <c r="AC31" s="231"/>
      <c r="AD31" s="232">
        <v>0</v>
      </c>
      <c r="AE31" s="165">
        <v>0</v>
      </c>
      <c r="AF31" s="139"/>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40" t="str">
        <f>"" &amp; TEXT(AE31,"#0.00%") &amp; " "</f>
        <v xml:space="preserve">0.00% </v>
      </c>
      <c r="BL31" s="140"/>
      <c r="BM31" s="140"/>
      <c r="BN31" s="140"/>
      <c r="BO31" s="140"/>
      <c r="BP31" s="140"/>
      <c r="BQ31" s="140"/>
      <c r="BR31" s="140"/>
      <c r="BS31" s="140"/>
      <c r="BT31" s="140"/>
      <c r="BU31" s="140"/>
      <c r="BV31" s="140"/>
      <c r="BW31" s="140"/>
      <c r="BX31" s="140"/>
      <c r="BY31" s="140"/>
      <c r="BZ31" s="140"/>
      <c r="CA31" s="140"/>
      <c r="CB31" s="140" t="str">
        <f>"   " &amp; "연동 테스트" &amp; "(신용윤)" &amp; " " &amp; IF(P31="","",TEXT(P31,"M/D-")) &amp; IF(Q31="","",TEXT(Q31,"M/D")) &amp; " "</f>
        <v xml:space="preserve">   연동 테스트(신용윤) 8/1-11/30 </v>
      </c>
      <c r="CC31" s="140"/>
      <c r="CD31" s="140"/>
      <c r="CE31" s="140"/>
      <c r="CF31" s="140"/>
      <c r="CG31" s="140"/>
    </row>
    <row r="32" spans="1:85" ht="12" customHeight="1" outlineLevel="3">
      <c r="A32" s="129"/>
      <c r="B32" s="129"/>
      <c r="C32" s="129">
        <v>4</v>
      </c>
      <c r="D32" s="233" t="s">
        <v>1434</v>
      </c>
      <c r="E32" s="225"/>
      <c r="F32" s="225"/>
      <c r="G32" s="225"/>
      <c r="H32" s="225" t="s">
        <v>1531</v>
      </c>
      <c r="I32" s="225"/>
      <c r="J32" s="225"/>
      <c r="K32" s="225"/>
      <c r="L32" s="225"/>
      <c r="M32" s="225"/>
      <c r="N32" s="225"/>
      <c r="O32" s="225"/>
      <c r="P32" s="226">
        <v>44501</v>
      </c>
      <c r="Q32" s="226">
        <v>44561</v>
      </c>
      <c r="R32" s="227"/>
      <c r="S32" s="228">
        <v>45</v>
      </c>
      <c r="T32" s="228">
        <v>0</v>
      </c>
      <c r="U32" s="228">
        <v>45</v>
      </c>
      <c r="V32" s="228">
        <v>0</v>
      </c>
      <c r="W32" s="226"/>
      <c r="X32" s="226"/>
      <c r="Y32" s="229"/>
      <c r="Z32" s="230">
        <v>0</v>
      </c>
      <c r="AA32" s="228"/>
      <c r="AB32" s="227" t="s">
        <v>1419</v>
      </c>
      <c r="AC32" s="231"/>
      <c r="AD32" s="232">
        <v>0</v>
      </c>
      <c r="AE32" s="165">
        <v>0</v>
      </c>
      <c r="AF32" s="139"/>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40"/>
      <c r="BL32" s="140"/>
      <c r="BM32" s="140"/>
      <c r="BN32" s="140"/>
      <c r="BO32" s="140"/>
      <c r="BP32" s="140"/>
      <c r="BQ32" s="140"/>
      <c r="BR32" s="140"/>
      <c r="BS32" s="140"/>
      <c r="BT32" s="140"/>
      <c r="BU32" s="140"/>
      <c r="BV32" s="140"/>
      <c r="BW32" s="140"/>
      <c r="BX32" s="140" t="str">
        <f>" " &amp; TEXT(AE32,"#0.00%") &amp; " "</f>
        <v xml:space="preserve"> 0.00% </v>
      </c>
      <c r="BY32" s="140"/>
      <c r="BZ32" s="140"/>
      <c r="CA32" s="140"/>
      <c r="CB32" s="140"/>
      <c r="CC32" s="140"/>
      <c r="CD32" s="140"/>
      <c r="CE32" s="140"/>
      <c r="CF32" s="140" t="str">
        <f>"      " &amp; "코드 안정화" &amp; "(박세형)" &amp; " " &amp; IF(P32="","",TEXT(P32,"M/D-")) &amp; IF(Q32="","",TEXT(Q32,"M/D")) &amp; " "</f>
        <v xml:space="preserve">      코드 안정화(박세형) 11/1-12/31 </v>
      </c>
      <c r="CG32" s="140"/>
    </row>
    <row r="33" spans="1:85" ht="12" customHeight="1" outlineLevel="1">
      <c r="A33" s="129"/>
      <c r="B33" s="129" t="s">
        <v>1353</v>
      </c>
      <c r="C33" s="129">
        <v>2</v>
      </c>
      <c r="D33" s="130" t="s">
        <v>1072</v>
      </c>
      <c r="E33" s="131"/>
      <c r="F33" s="131" t="s">
        <v>1398</v>
      </c>
      <c r="G33" s="131"/>
      <c r="H33" s="131"/>
      <c r="I33" s="131"/>
      <c r="J33" s="131"/>
      <c r="K33" s="131"/>
      <c r="L33" s="131"/>
      <c r="M33" s="131"/>
      <c r="N33" s="131"/>
      <c r="O33" s="131"/>
      <c r="P33" s="132">
        <v>44348</v>
      </c>
      <c r="Q33" s="132">
        <v>44439</v>
      </c>
      <c r="R33" s="133"/>
      <c r="S33" s="134">
        <v>110</v>
      </c>
      <c r="T33" s="134">
        <v>0</v>
      </c>
      <c r="U33" s="134">
        <v>66</v>
      </c>
      <c r="V33" s="134">
        <v>0</v>
      </c>
      <c r="W33" s="132"/>
      <c r="X33" s="132"/>
      <c r="Y33" s="135">
        <v>0</v>
      </c>
      <c r="Z33" s="136">
        <v>0</v>
      </c>
      <c r="AA33" s="134"/>
      <c r="AB33" s="133" t="s">
        <v>1403</v>
      </c>
      <c r="AC33" s="137"/>
      <c r="AD33" s="138">
        <v>0</v>
      </c>
      <c r="AE33" s="193">
        <v>0</v>
      </c>
      <c r="AF33" s="139"/>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t="str">
        <f>"  " &amp; TEXT(AE33,"#0.00%") &amp; " "</f>
        <v xml:space="preserve">  0.00% </v>
      </c>
      <c r="BC33" s="140"/>
      <c r="BD33" s="140"/>
      <c r="BE33" s="140"/>
      <c r="BF33" s="140"/>
      <c r="BG33" s="140"/>
      <c r="BH33" s="140"/>
      <c r="BI33" s="140"/>
      <c r="BJ33" s="140"/>
      <c r="BK33" s="140"/>
      <c r="BL33" s="140"/>
      <c r="BM33" s="140"/>
      <c r="BN33" s="140"/>
      <c r="BO33" s="140" t="str">
        <f>"   " &amp; "모니터링" &amp; "(신용윤,박세형)" &amp; " " &amp; IF(P33="","",TEXT(P33,"M/D-")) &amp; IF(Q33="","",TEXT(Q33,"M/D")) &amp; " "</f>
        <v xml:space="preserve">   모니터링(신용윤,박세형) 6/1-8/31 </v>
      </c>
      <c r="BP33" s="140"/>
      <c r="BQ33" s="140"/>
      <c r="BR33" s="140"/>
      <c r="BS33" s="140"/>
      <c r="BT33" s="140"/>
      <c r="BU33" s="140"/>
      <c r="BV33" s="140"/>
      <c r="BW33" s="140"/>
      <c r="BX33" s="140"/>
      <c r="BY33" s="140"/>
      <c r="BZ33" s="140"/>
      <c r="CA33" s="140"/>
      <c r="CB33" s="140"/>
      <c r="CC33" s="140"/>
      <c r="CD33" s="140"/>
      <c r="CE33" s="140"/>
      <c r="CF33" s="140"/>
      <c r="CG33" s="140"/>
    </row>
    <row r="34" spans="1:85" ht="12" customHeight="1" outlineLevel="2">
      <c r="A34" s="129"/>
      <c r="B34" s="129" t="s">
        <v>1353</v>
      </c>
      <c r="C34" s="129">
        <v>3</v>
      </c>
      <c r="D34" s="208" t="s">
        <v>1073</v>
      </c>
      <c r="E34" s="209"/>
      <c r="F34" s="209"/>
      <c r="G34" s="209" t="s">
        <v>1404</v>
      </c>
      <c r="H34" s="209"/>
      <c r="I34" s="209"/>
      <c r="J34" s="209"/>
      <c r="K34" s="209"/>
      <c r="L34" s="209"/>
      <c r="M34" s="209"/>
      <c r="N34" s="209"/>
      <c r="O34" s="209"/>
      <c r="P34" s="219">
        <v>44348</v>
      </c>
      <c r="Q34" s="219">
        <v>44377</v>
      </c>
      <c r="R34" s="218"/>
      <c r="S34" s="220">
        <v>44</v>
      </c>
      <c r="T34" s="220">
        <v>0</v>
      </c>
      <c r="U34" s="220">
        <v>22</v>
      </c>
      <c r="V34" s="220">
        <v>0</v>
      </c>
      <c r="W34" s="219"/>
      <c r="X34" s="219"/>
      <c r="Y34" s="221">
        <v>0</v>
      </c>
      <c r="Z34" s="222">
        <v>0</v>
      </c>
      <c r="AA34" s="220"/>
      <c r="AB34" s="218" t="s">
        <v>1403</v>
      </c>
      <c r="AC34" s="223" t="s">
        <v>1431</v>
      </c>
      <c r="AD34" s="224">
        <v>0</v>
      </c>
      <c r="AE34" s="193">
        <v>0</v>
      </c>
      <c r="AF34" s="139"/>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t="str">
        <f>"  " &amp; TEXT(AE34,"#0.00%") &amp; " "</f>
        <v xml:space="preserve">  0.00% </v>
      </c>
      <c r="BC34" s="140"/>
      <c r="BD34" s="140"/>
      <c r="BE34" s="140"/>
      <c r="BF34" s="140" t="str">
        <f>"    " &amp; "기능 정의 및 설계" &amp; "(신용윤,박세형)" &amp; " " &amp; IF(P34="","",TEXT(P34,"M/D-")) &amp; IF(Q34="","",TEXT(Q34,"M/D")) &amp; " "</f>
        <v xml:space="preserve">    기능 정의 및 설계(신용윤,박세형) 6/1-6/30 </v>
      </c>
      <c r="BG34" s="140"/>
      <c r="BH34" s="140"/>
      <c r="BI34" s="140"/>
      <c r="BJ34" s="140"/>
      <c r="BK34" s="140"/>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row>
    <row r="35" spans="1:85" ht="12" customHeight="1" outlineLevel="3">
      <c r="A35" s="129"/>
      <c r="B35" s="129"/>
      <c r="C35" s="129">
        <v>4</v>
      </c>
      <c r="D35" s="233" t="s">
        <v>1446</v>
      </c>
      <c r="E35" s="225"/>
      <c r="F35" s="225"/>
      <c r="G35" s="225"/>
      <c r="H35" s="225" t="s">
        <v>1435</v>
      </c>
      <c r="I35" s="225"/>
      <c r="J35" s="225"/>
      <c r="K35" s="225"/>
      <c r="L35" s="225"/>
      <c r="M35" s="225"/>
      <c r="N35" s="225"/>
      <c r="O35" s="225"/>
      <c r="P35" s="226">
        <v>44348</v>
      </c>
      <c r="Q35" s="226">
        <v>44377</v>
      </c>
      <c r="R35" s="227"/>
      <c r="S35" s="228">
        <v>44</v>
      </c>
      <c r="T35" s="228">
        <v>0</v>
      </c>
      <c r="U35" s="228">
        <v>22</v>
      </c>
      <c r="V35" s="228">
        <v>0</v>
      </c>
      <c r="W35" s="226"/>
      <c r="X35" s="226"/>
      <c r="Y35" s="229"/>
      <c r="Z35" s="230">
        <v>0</v>
      </c>
      <c r="AA35" s="228"/>
      <c r="AB35" s="227" t="s">
        <v>1403</v>
      </c>
      <c r="AC35" s="231"/>
      <c r="AD35" s="232">
        <v>0</v>
      </c>
      <c r="AE35" s="165">
        <v>0</v>
      </c>
      <c r="AF35" s="139"/>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t="str">
        <f>"  " &amp; TEXT(AE35,"#0.00%") &amp; " "</f>
        <v xml:space="preserve">  0.00% </v>
      </c>
      <c r="BC35" s="140"/>
      <c r="BD35" s="140"/>
      <c r="BE35" s="140"/>
      <c r="BF35" s="140" t="str">
        <f>"    " &amp; "인터페이스 설계" &amp; "(신용윤,박세형)" &amp; " " &amp; IF(P35="","",TEXT(P35,"M/D-")) &amp; IF(Q35="","",TEXT(Q35,"M/D")) &amp; " "</f>
        <v xml:space="preserve">    인터페이스 설계(신용윤,박세형) 6/1-6/30 </v>
      </c>
      <c r="BG35" s="140"/>
      <c r="BH35" s="140"/>
      <c r="BI35" s="140"/>
      <c r="BJ35" s="140"/>
      <c r="BK35" s="140"/>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row>
    <row r="36" spans="1:85" ht="12" customHeight="1" outlineLevel="2">
      <c r="A36" s="129"/>
      <c r="B36" s="129" t="s">
        <v>1353</v>
      </c>
      <c r="C36" s="129">
        <v>3</v>
      </c>
      <c r="D36" s="208" t="s">
        <v>1079</v>
      </c>
      <c r="E36" s="209"/>
      <c r="F36" s="209"/>
      <c r="G36" s="209" t="s">
        <v>1422</v>
      </c>
      <c r="H36" s="209"/>
      <c r="I36" s="209"/>
      <c r="J36" s="209"/>
      <c r="K36" s="209"/>
      <c r="L36" s="209"/>
      <c r="M36" s="209"/>
      <c r="N36" s="209"/>
      <c r="O36" s="209"/>
      <c r="P36" s="219">
        <v>44378</v>
      </c>
      <c r="Q36" s="219">
        <v>44408</v>
      </c>
      <c r="R36" s="218"/>
      <c r="S36" s="220">
        <v>44</v>
      </c>
      <c r="T36" s="220">
        <v>0</v>
      </c>
      <c r="U36" s="220">
        <v>22</v>
      </c>
      <c r="V36" s="220">
        <v>0</v>
      </c>
      <c r="W36" s="219"/>
      <c r="X36" s="219"/>
      <c r="Y36" s="221">
        <v>0</v>
      </c>
      <c r="Z36" s="222">
        <v>0</v>
      </c>
      <c r="AA36" s="220"/>
      <c r="AB36" s="218" t="s">
        <v>1424</v>
      </c>
      <c r="AC36" s="223" t="s">
        <v>1432</v>
      </c>
      <c r="AD36" s="224">
        <v>0</v>
      </c>
      <c r="AE36" s="193">
        <v>0</v>
      </c>
      <c r="AF36" s="139"/>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t="str">
        <f>"    " &amp; TEXT(AE36,"#0.00%") &amp; " "</f>
        <v xml:space="preserve">    0.00% </v>
      </c>
      <c r="BG36" s="140"/>
      <c r="BH36" s="140"/>
      <c r="BI36" s="140"/>
      <c r="BJ36" s="140"/>
      <c r="BK36" s="140" t="str">
        <f>"" &amp; "인터페이스 구현" &amp; "(신용윤)" &amp; " " &amp; IF(P36="","",TEXT(P36,"M/D-")) &amp; IF(Q36="","",TEXT(Q36,"M/D")) &amp; " "</f>
        <v xml:space="preserve">인터페이스 구현(신용윤) 7/1-7/31 </v>
      </c>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row>
    <row r="37" spans="1:85" ht="12" customHeight="1" outlineLevel="3">
      <c r="A37" s="129"/>
      <c r="B37" s="129"/>
      <c r="C37" s="129">
        <v>4</v>
      </c>
      <c r="D37" s="233" t="s">
        <v>1447</v>
      </c>
      <c r="E37" s="225"/>
      <c r="F37" s="225"/>
      <c r="G37" s="225"/>
      <c r="H37" s="225" t="s">
        <v>1547</v>
      </c>
      <c r="I37" s="225"/>
      <c r="J37" s="225"/>
      <c r="K37" s="225"/>
      <c r="L37" s="225"/>
      <c r="M37" s="225"/>
      <c r="N37" s="225"/>
      <c r="O37" s="225"/>
      <c r="P37" s="226">
        <v>44378</v>
      </c>
      <c r="Q37" s="226">
        <v>44408</v>
      </c>
      <c r="R37" s="227"/>
      <c r="S37" s="228">
        <v>22</v>
      </c>
      <c r="T37" s="228">
        <v>0</v>
      </c>
      <c r="U37" s="228">
        <v>22</v>
      </c>
      <c r="V37" s="228">
        <v>0</v>
      </c>
      <c r="W37" s="226"/>
      <c r="X37" s="226"/>
      <c r="Y37" s="229"/>
      <c r="Z37" s="230">
        <v>0</v>
      </c>
      <c r="AA37" s="228"/>
      <c r="AB37" s="227" t="s">
        <v>1424</v>
      </c>
      <c r="AC37" s="231"/>
      <c r="AD37" s="232">
        <v>0</v>
      </c>
      <c r="AE37" s="165">
        <v>0</v>
      </c>
      <c r="AF37" s="139"/>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t="str">
        <f>"    " &amp; TEXT(AE37,"#0.00%") &amp; " "</f>
        <v xml:space="preserve">    0.00% </v>
      </c>
      <c r="BG37" s="140"/>
      <c r="BH37" s="140"/>
      <c r="BI37" s="140"/>
      <c r="BJ37" s="140"/>
      <c r="BK37" s="140" t="str">
        <f>"" &amp; "리소스 정보 인터페이스 구현" &amp; "(신용윤)" &amp; " " &amp; IF(P37="","",TEXT(P37,"M/D-")) &amp; IF(Q37="","",TEXT(Q37,"M/D")) &amp; " "</f>
        <v xml:space="preserve">리소스 정보 인터페이스 구현(신용윤) 7/1-7/31 </v>
      </c>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row>
    <row r="38" spans="1:85" ht="12" customHeight="1" outlineLevel="3">
      <c r="A38" s="129"/>
      <c r="B38" s="129"/>
      <c r="C38" s="129">
        <v>4</v>
      </c>
      <c r="D38" s="233" t="s">
        <v>1549</v>
      </c>
      <c r="E38" s="225"/>
      <c r="F38" s="225"/>
      <c r="G38" s="225"/>
      <c r="H38" s="225" t="s">
        <v>1548</v>
      </c>
      <c r="I38" s="225"/>
      <c r="J38" s="225"/>
      <c r="K38" s="225"/>
      <c r="L38" s="225"/>
      <c r="M38" s="225"/>
      <c r="N38" s="225"/>
      <c r="O38" s="225"/>
      <c r="P38" s="226">
        <v>44378</v>
      </c>
      <c r="Q38" s="226">
        <v>44408</v>
      </c>
      <c r="R38" s="227"/>
      <c r="S38" s="228">
        <v>22</v>
      </c>
      <c r="T38" s="228">
        <v>0</v>
      </c>
      <c r="U38" s="228">
        <v>22</v>
      </c>
      <c r="V38" s="228">
        <v>0</v>
      </c>
      <c r="W38" s="226"/>
      <c r="X38" s="226"/>
      <c r="Y38" s="229"/>
      <c r="Z38" s="230">
        <v>0</v>
      </c>
      <c r="AA38" s="228"/>
      <c r="AB38" s="227" t="s">
        <v>1424</v>
      </c>
      <c r="AC38" s="231"/>
      <c r="AD38" s="232">
        <v>0</v>
      </c>
      <c r="AE38" s="165">
        <v>0</v>
      </c>
      <c r="AF38" s="139"/>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t="str">
        <f>"    " &amp; TEXT(AE38,"#0.00%") &amp; " "</f>
        <v xml:space="preserve">    0.00% </v>
      </c>
      <c r="BG38" s="140"/>
      <c r="BH38" s="140"/>
      <c r="BI38" s="140"/>
      <c r="BJ38" s="140"/>
      <c r="BK38" s="140" t="str">
        <f>"" &amp; "동적 노드 정보 인터페이스 구현" &amp; "(신용윤)" &amp; " " &amp; IF(P38="","",TEXT(P38,"M/D-")) &amp; IF(Q38="","",TEXT(Q38,"M/D")) &amp; " "</f>
        <v xml:space="preserve">동적 노드 정보 인터페이스 구현(신용윤) 7/1-7/31 </v>
      </c>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row>
    <row r="39" spans="1:85" ht="12" customHeight="1" outlineLevel="2">
      <c r="A39" s="129"/>
      <c r="B39" s="129" t="s">
        <v>1353</v>
      </c>
      <c r="C39" s="129">
        <v>3</v>
      </c>
      <c r="D39" s="208" t="s">
        <v>1365</v>
      </c>
      <c r="E39" s="209"/>
      <c r="F39" s="209"/>
      <c r="G39" s="209" t="s">
        <v>1423</v>
      </c>
      <c r="H39" s="209"/>
      <c r="I39" s="209"/>
      <c r="J39" s="209"/>
      <c r="K39" s="209"/>
      <c r="L39" s="209"/>
      <c r="M39" s="209"/>
      <c r="N39" s="209"/>
      <c r="O39" s="209"/>
      <c r="P39" s="219">
        <v>44409</v>
      </c>
      <c r="Q39" s="219">
        <v>44439</v>
      </c>
      <c r="R39" s="218"/>
      <c r="S39" s="220">
        <v>22</v>
      </c>
      <c r="T39" s="220">
        <v>0</v>
      </c>
      <c r="U39" s="220">
        <v>22</v>
      </c>
      <c r="V39" s="220">
        <v>0</v>
      </c>
      <c r="W39" s="219"/>
      <c r="X39" s="219"/>
      <c r="Y39" s="221">
        <v>0</v>
      </c>
      <c r="Z39" s="222">
        <v>0</v>
      </c>
      <c r="AA39" s="220"/>
      <c r="AB39" s="218" t="s">
        <v>1424</v>
      </c>
      <c r="AC39" s="223"/>
      <c r="AD39" s="224">
        <v>0</v>
      </c>
      <c r="AE39" s="193">
        <v>0</v>
      </c>
      <c r="AF39" s="139"/>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40" t="str">
        <f>"" &amp; TEXT(AE39,"#0.00%") &amp; " "</f>
        <v xml:space="preserve">0.00% </v>
      </c>
      <c r="BL39" s="140"/>
      <c r="BM39" s="140"/>
      <c r="BN39" s="140"/>
      <c r="BO39" s="140" t="str">
        <f>"   " &amp; "연동 테스트" &amp; "(신용윤)" &amp; " " &amp; IF(P39="","",TEXT(P39,"M/D-")) &amp; IF(Q39="","",TEXT(Q39,"M/D")) &amp; " "</f>
        <v xml:space="preserve">   연동 테스트(신용윤) 8/1-8/31 </v>
      </c>
      <c r="BP39" s="140"/>
      <c r="BQ39" s="140"/>
      <c r="BR39" s="140"/>
      <c r="BS39" s="140"/>
      <c r="BT39" s="140"/>
      <c r="BU39" s="140"/>
      <c r="BV39" s="140"/>
      <c r="BW39" s="140"/>
      <c r="BX39" s="140"/>
      <c r="BY39" s="140"/>
      <c r="BZ39" s="140"/>
      <c r="CA39" s="140"/>
      <c r="CB39" s="140"/>
      <c r="CC39" s="140"/>
      <c r="CD39" s="140"/>
      <c r="CE39" s="140"/>
      <c r="CF39" s="140"/>
      <c r="CG39" s="140"/>
    </row>
    <row r="40" spans="1:85" ht="12" customHeight="1" outlineLevel="3">
      <c r="A40" s="129"/>
      <c r="B40" s="129"/>
      <c r="C40" s="129">
        <v>4</v>
      </c>
      <c r="D40" s="130" t="s">
        <v>1448</v>
      </c>
      <c r="E40" s="131"/>
      <c r="F40" s="131"/>
      <c r="G40" s="131"/>
      <c r="H40" s="131" t="s">
        <v>1436</v>
      </c>
      <c r="I40" s="131"/>
      <c r="J40" s="131"/>
      <c r="K40" s="131"/>
      <c r="L40" s="131"/>
      <c r="M40" s="131"/>
      <c r="N40" s="131"/>
      <c r="O40" s="131"/>
      <c r="P40" s="132">
        <v>44409</v>
      </c>
      <c r="Q40" s="132">
        <v>44439</v>
      </c>
      <c r="R40" s="133"/>
      <c r="S40" s="134">
        <v>22</v>
      </c>
      <c r="T40" s="134">
        <v>0</v>
      </c>
      <c r="U40" s="134">
        <v>22</v>
      </c>
      <c r="V40" s="134">
        <v>0</v>
      </c>
      <c r="W40" s="132"/>
      <c r="X40" s="132"/>
      <c r="Y40" s="135"/>
      <c r="Z40" s="136">
        <v>0</v>
      </c>
      <c r="AA40" s="134"/>
      <c r="AB40" s="133" t="s">
        <v>1424</v>
      </c>
      <c r="AC40" s="137"/>
      <c r="AD40" s="138">
        <v>0</v>
      </c>
      <c r="AE40" s="165">
        <v>0</v>
      </c>
      <c r="AF40" s="139"/>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t="str">
        <f>"" &amp; TEXT(AE40,"#0.00%") &amp; " "</f>
        <v xml:space="preserve">0.00% </v>
      </c>
      <c r="BL40" s="140"/>
      <c r="BM40" s="140"/>
      <c r="BN40" s="140"/>
      <c r="BO40" s="140" t="str">
        <f>"   " &amp; "모니터링 연동 테스트" &amp; "(신용윤)" &amp; " " &amp; IF(P40="","",TEXT(P40,"M/D-")) &amp; IF(Q40="","",TEXT(Q40,"M/D")) &amp; " "</f>
        <v xml:space="preserve">   모니터링 연동 테스트(신용윤) 8/1-8/31 </v>
      </c>
      <c r="BP40" s="140"/>
      <c r="BQ40" s="140"/>
      <c r="BR40" s="140"/>
      <c r="BS40" s="140"/>
      <c r="BT40" s="140"/>
      <c r="BU40" s="140"/>
      <c r="BV40" s="140"/>
      <c r="BW40" s="140"/>
      <c r="BX40" s="140"/>
      <c r="BY40" s="140"/>
      <c r="BZ40" s="140"/>
      <c r="CA40" s="140"/>
      <c r="CB40" s="140"/>
      <c r="CC40" s="140"/>
      <c r="CD40" s="140"/>
      <c r="CE40" s="140"/>
      <c r="CF40" s="140"/>
      <c r="CG40" s="140"/>
    </row>
    <row r="41" spans="1:85" ht="12" customHeight="1" outlineLevel="1">
      <c r="A41" s="129"/>
      <c r="B41" s="129" t="s">
        <v>1353</v>
      </c>
      <c r="C41" s="129">
        <v>2</v>
      </c>
      <c r="D41" s="130" t="s">
        <v>1538</v>
      </c>
      <c r="E41" s="131"/>
      <c r="F41" s="131" t="s">
        <v>1532</v>
      </c>
      <c r="G41" s="131"/>
      <c r="H41" s="131"/>
      <c r="I41" s="131"/>
      <c r="J41" s="131"/>
      <c r="K41" s="131"/>
      <c r="L41" s="131"/>
      <c r="M41" s="131"/>
      <c r="N41" s="131"/>
      <c r="O41" s="131"/>
      <c r="P41" s="132">
        <v>44409</v>
      </c>
      <c r="Q41" s="132">
        <v>44500</v>
      </c>
      <c r="R41" s="133"/>
      <c r="S41" s="134">
        <v>84</v>
      </c>
      <c r="T41" s="134">
        <v>0</v>
      </c>
      <c r="U41" s="134">
        <v>62</v>
      </c>
      <c r="V41" s="134">
        <v>0</v>
      </c>
      <c r="W41" s="132"/>
      <c r="X41" s="132"/>
      <c r="Y41" s="135">
        <v>0</v>
      </c>
      <c r="Z41" s="136">
        <v>0</v>
      </c>
      <c r="AA41" s="134"/>
      <c r="AB41" s="133" t="s">
        <v>1484</v>
      </c>
      <c r="AC41" s="137"/>
      <c r="AD41" s="138">
        <v>0</v>
      </c>
      <c r="AE41" s="193">
        <v>0</v>
      </c>
      <c r="AF41" s="139"/>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t="str">
        <f>"" &amp; TEXT(AE41,"#0.00%") &amp; " "</f>
        <v xml:space="preserve">0.00% </v>
      </c>
      <c r="BL41" s="140"/>
      <c r="BM41" s="140"/>
      <c r="BN41" s="140"/>
      <c r="BO41" s="140"/>
      <c r="BP41" s="140"/>
      <c r="BQ41" s="140"/>
      <c r="BR41" s="140"/>
      <c r="BS41" s="140"/>
      <c r="BT41" s="140"/>
      <c r="BU41" s="140"/>
      <c r="BV41" s="140"/>
      <c r="BW41" s="140"/>
      <c r="BX41" s="140" t="str">
        <f>" " &amp; "DIFS Tools 라이브러리화" &amp; "(신용윤, 박세형)" &amp; " " &amp; IF(P41="","",TEXT(P41,"M/D-")) &amp; IF(Q41="","",TEXT(Q41,"M/D")) &amp; " "</f>
        <v xml:space="preserve"> DIFS Tools 라이브러리화(신용윤, 박세형) 8/1-10/31 </v>
      </c>
      <c r="BY41" s="140"/>
      <c r="BZ41" s="140"/>
      <c r="CA41" s="140"/>
      <c r="CB41" s="140"/>
      <c r="CC41" s="140"/>
      <c r="CD41" s="140"/>
      <c r="CE41" s="140"/>
      <c r="CF41" s="140"/>
      <c r="CG41" s="140"/>
    </row>
    <row r="42" spans="1:85" ht="12" customHeight="1" outlineLevel="2">
      <c r="A42" s="129"/>
      <c r="B42" s="129" t="s">
        <v>1353</v>
      </c>
      <c r="C42" s="129">
        <v>3</v>
      </c>
      <c r="D42" s="130" t="s">
        <v>1539</v>
      </c>
      <c r="E42" s="131"/>
      <c r="F42" s="131"/>
      <c r="G42" s="131" t="s">
        <v>1404</v>
      </c>
      <c r="H42" s="131"/>
      <c r="I42" s="131"/>
      <c r="J42" s="131"/>
      <c r="K42" s="131"/>
      <c r="L42" s="131"/>
      <c r="M42" s="131"/>
      <c r="N42" s="131"/>
      <c r="O42" s="131"/>
      <c r="P42" s="132">
        <v>44409</v>
      </c>
      <c r="Q42" s="132">
        <v>44439</v>
      </c>
      <c r="R42" s="133"/>
      <c r="S42" s="134">
        <v>44</v>
      </c>
      <c r="T42" s="134">
        <v>0</v>
      </c>
      <c r="U42" s="134">
        <v>22</v>
      </c>
      <c r="V42" s="134">
        <v>0</v>
      </c>
      <c r="W42" s="132"/>
      <c r="X42" s="132"/>
      <c r="Y42" s="135">
        <v>0</v>
      </c>
      <c r="Z42" s="136">
        <v>0</v>
      </c>
      <c r="AA42" s="134"/>
      <c r="AB42" s="133" t="s">
        <v>1484</v>
      </c>
      <c r="AC42" s="137"/>
      <c r="AD42" s="138">
        <v>0</v>
      </c>
      <c r="AE42" s="193">
        <v>0</v>
      </c>
      <c r="AF42" s="139"/>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t="str">
        <f>"" &amp; TEXT(AE42,"#0.00%") &amp; " "</f>
        <v xml:space="preserve">0.00% </v>
      </c>
      <c r="BL42" s="140"/>
      <c r="BM42" s="140"/>
      <c r="BN42" s="140"/>
      <c r="BO42" s="140" t="str">
        <f>"   " &amp; "기능 정의 및 설계" &amp; "(신용윤, 박세형)" &amp; " " &amp; IF(P42="","",TEXT(P42,"M/D-")) &amp; IF(Q42="","",TEXT(Q42,"M/D")) &amp; " "</f>
        <v xml:space="preserve">   기능 정의 및 설계(신용윤, 박세형) 8/1-8/31 </v>
      </c>
      <c r="BP42" s="140"/>
      <c r="BQ42" s="140"/>
      <c r="BR42" s="140"/>
      <c r="BS42" s="140"/>
      <c r="BT42" s="140"/>
      <c r="BU42" s="140"/>
      <c r="BV42" s="140"/>
      <c r="BW42" s="140"/>
      <c r="BX42" s="140"/>
      <c r="BY42" s="140"/>
      <c r="BZ42" s="140"/>
      <c r="CA42" s="140"/>
      <c r="CB42" s="140"/>
      <c r="CC42" s="140"/>
      <c r="CD42" s="140"/>
      <c r="CE42" s="140"/>
      <c r="CF42" s="140"/>
      <c r="CG42" s="140"/>
    </row>
    <row r="43" spans="1:85" ht="12" customHeight="1" outlineLevel="3">
      <c r="A43" s="129"/>
      <c r="B43" s="129"/>
      <c r="C43" s="129">
        <v>4</v>
      </c>
      <c r="D43" s="130" t="s">
        <v>1540</v>
      </c>
      <c r="E43" s="131"/>
      <c r="F43" s="131"/>
      <c r="G43" s="131"/>
      <c r="H43" s="131" t="s">
        <v>1534</v>
      </c>
      <c r="I43" s="131"/>
      <c r="J43" s="131"/>
      <c r="K43" s="131"/>
      <c r="L43" s="131"/>
      <c r="M43" s="131"/>
      <c r="N43" s="131"/>
      <c r="O43" s="131"/>
      <c r="P43" s="132">
        <v>44409</v>
      </c>
      <c r="Q43" s="132">
        <v>44439</v>
      </c>
      <c r="R43" s="133"/>
      <c r="S43" s="134">
        <v>44</v>
      </c>
      <c r="T43" s="134">
        <v>0</v>
      </c>
      <c r="U43" s="134">
        <v>22</v>
      </c>
      <c r="V43" s="134">
        <v>0</v>
      </c>
      <c r="W43" s="132"/>
      <c r="X43" s="132"/>
      <c r="Y43" s="135"/>
      <c r="Z43" s="136">
        <v>0</v>
      </c>
      <c r="AA43" s="134"/>
      <c r="AB43" s="133" t="s">
        <v>1484</v>
      </c>
      <c r="AC43" s="137"/>
      <c r="AD43" s="138">
        <v>0</v>
      </c>
      <c r="AE43" s="165">
        <v>0</v>
      </c>
      <c r="AF43" s="139"/>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t="str">
        <f>"" &amp; TEXT(AE43,"#0.00%") &amp; " "</f>
        <v xml:space="preserve">0.00% </v>
      </c>
      <c r="BL43" s="140"/>
      <c r="BM43" s="140"/>
      <c r="BN43" s="140"/>
      <c r="BO43" s="140" t="str">
        <f>"   " &amp; "user tools 기능 설계" &amp; "(신용윤, 박세형)" &amp; " " &amp; IF(P43="","",TEXT(P43,"M/D-")) &amp; IF(Q43="","",TEXT(Q43,"M/D")) &amp; " "</f>
        <v xml:space="preserve">   user tools 기능 설계(신용윤, 박세형) 8/1-8/31 </v>
      </c>
      <c r="BP43" s="140"/>
      <c r="BQ43" s="140"/>
      <c r="BR43" s="140"/>
      <c r="BS43" s="140"/>
      <c r="BT43" s="140"/>
      <c r="BU43" s="140"/>
      <c r="BV43" s="140"/>
      <c r="BW43" s="140"/>
      <c r="BX43" s="140"/>
      <c r="BY43" s="140"/>
      <c r="BZ43" s="140"/>
      <c r="CA43" s="140"/>
      <c r="CB43" s="140"/>
      <c r="CC43" s="140"/>
      <c r="CD43" s="140"/>
      <c r="CE43" s="140"/>
      <c r="CF43" s="140"/>
      <c r="CG43" s="140"/>
    </row>
    <row r="44" spans="1:85" ht="12" customHeight="1" outlineLevel="2">
      <c r="A44" s="129"/>
      <c r="B44" s="129" t="s">
        <v>1353</v>
      </c>
      <c r="C44" s="129">
        <v>3</v>
      </c>
      <c r="D44" s="130" t="s">
        <v>1541</v>
      </c>
      <c r="E44" s="131"/>
      <c r="F44" s="131"/>
      <c r="G44" s="131" t="s">
        <v>1535</v>
      </c>
      <c r="H44" s="131"/>
      <c r="I44" s="131"/>
      <c r="J44" s="131"/>
      <c r="K44" s="131"/>
      <c r="L44" s="131"/>
      <c r="M44" s="131"/>
      <c r="N44" s="131"/>
      <c r="O44" s="131"/>
      <c r="P44" s="132">
        <v>44440</v>
      </c>
      <c r="Q44" s="132">
        <v>44469</v>
      </c>
      <c r="R44" s="133"/>
      <c r="S44" s="134">
        <v>19</v>
      </c>
      <c r="T44" s="134">
        <v>0</v>
      </c>
      <c r="U44" s="134">
        <v>19</v>
      </c>
      <c r="V44" s="134">
        <v>0</v>
      </c>
      <c r="W44" s="132"/>
      <c r="X44" s="132"/>
      <c r="Y44" s="135">
        <v>0</v>
      </c>
      <c r="Z44" s="136">
        <v>0</v>
      </c>
      <c r="AA44" s="134"/>
      <c r="AB44" s="133" t="s">
        <v>1419</v>
      </c>
      <c r="AC44" s="137"/>
      <c r="AD44" s="138">
        <v>0</v>
      </c>
      <c r="AE44" s="193">
        <v>0</v>
      </c>
      <c r="AF44" s="139"/>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c r="BM44" s="140"/>
      <c r="BN44" s="140"/>
      <c r="BO44" s="140" t="str">
        <f>"   " &amp; TEXT(AE44,"#0.00%") &amp; " "</f>
        <v xml:space="preserve">   0.00% </v>
      </c>
      <c r="BP44" s="140"/>
      <c r="BQ44" s="140"/>
      <c r="BR44" s="140"/>
      <c r="BS44" s="140" t="str">
        <f>"     " &amp; "라이브러리 구현" &amp; "(박세형)" &amp; " " &amp; IF(P44="","",TEXT(P44,"M/D-")) &amp; IF(Q44="","",TEXT(Q44,"M/D")) &amp; " "</f>
        <v xml:space="preserve">     라이브러리 구현(박세형) 9/1-9/30 </v>
      </c>
      <c r="BT44" s="140"/>
      <c r="BU44" s="140"/>
      <c r="BV44" s="140"/>
      <c r="BW44" s="140"/>
      <c r="BX44" s="140"/>
      <c r="BY44" s="140"/>
      <c r="BZ44" s="140"/>
      <c r="CA44" s="140"/>
      <c r="CB44" s="140"/>
      <c r="CC44" s="140"/>
      <c r="CD44" s="140"/>
      <c r="CE44" s="140"/>
      <c r="CF44" s="140"/>
      <c r="CG44" s="140"/>
    </row>
    <row r="45" spans="1:85" ht="12" customHeight="1" outlineLevel="3">
      <c r="A45" s="129"/>
      <c r="B45" s="129"/>
      <c r="C45" s="129">
        <v>4</v>
      </c>
      <c r="D45" s="130" t="s">
        <v>1542</v>
      </c>
      <c r="E45" s="131"/>
      <c r="F45" s="131"/>
      <c r="G45" s="131"/>
      <c r="H45" s="131" t="s">
        <v>1536</v>
      </c>
      <c r="I45" s="131"/>
      <c r="J45" s="131"/>
      <c r="K45" s="131"/>
      <c r="L45" s="131"/>
      <c r="M45" s="131"/>
      <c r="N45" s="131"/>
      <c r="O45" s="131"/>
      <c r="P45" s="132">
        <v>44440</v>
      </c>
      <c r="Q45" s="132">
        <v>44469</v>
      </c>
      <c r="R45" s="133"/>
      <c r="S45" s="134">
        <v>19</v>
      </c>
      <c r="T45" s="134">
        <v>0</v>
      </c>
      <c r="U45" s="134">
        <v>19</v>
      </c>
      <c r="V45" s="134">
        <v>0</v>
      </c>
      <c r="W45" s="132"/>
      <c r="X45" s="132"/>
      <c r="Y45" s="135"/>
      <c r="Z45" s="136">
        <v>0</v>
      </c>
      <c r="AA45" s="134"/>
      <c r="AB45" s="133" t="s">
        <v>1419</v>
      </c>
      <c r="AC45" s="137"/>
      <c r="AD45" s="138">
        <v>0</v>
      </c>
      <c r="AE45" s="165">
        <v>0</v>
      </c>
      <c r="AF45" s="139"/>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M45" s="140"/>
      <c r="BN45" s="140"/>
      <c r="BO45" s="140" t="str">
        <f>"   " &amp; TEXT(AE45,"#0.00%") &amp; " "</f>
        <v xml:space="preserve">   0.00% </v>
      </c>
      <c r="BP45" s="140"/>
      <c r="BQ45" s="140"/>
      <c r="BR45" s="140"/>
      <c r="BS45" s="140" t="str">
        <f>"     " &amp; "user lib 구성" &amp; "(박세형)" &amp; " " &amp; IF(P45="","",TEXT(P45,"M/D-")) &amp; IF(Q45="","",TEXT(Q45,"M/D")) &amp; " "</f>
        <v xml:space="preserve">     user lib 구성(박세형) 9/1-9/30 </v>
      </c>
      <c r="BT45" s="140"/>
      <c r="BU45" s="140"/>
      <c r="BV45" s="140"/>
      <c r="BW45" s="140"/>
      <c r="BX45" s="140"/>
      <c r="BY45" s="140"/>
      <c r="BZ45" s="140"/>
      <c r="CA45" s="140"/>
      <c r="CB45" s="140"/>
      <c r="CC45" s="140"/>
      <c r="CD45" s="140"/>
      <c r="CE45" s="140"/>
      <c r="CF45" s="140"/>
      <c r="CG45" s="140"/>
    </row>
    <row r="46" spans="1:85" ht="12" customHeight="1" outlineLevel="2">
      <c r="A46" s="129"/>
      <c r="B46" s="129" t="s">
        <v>1353</v>
      </c>
      <c r="C46" s="129">
        <v>3</v>
      </c>
      <c r="D46" s="130" t="s">
        <v>1551</v>
      </c>
      <c r="E46" s="131"/>
      <c r="F46" s="131"/>
      <c r="G46" s="131" t="s">
        <v>1423</v>
      </c>
      <c r="H46" s="131"/>
      <c r="I46" s="131"/>
      <c r="J46" s="131"/>
      <c r="K46" s="131"/>
      <c r="L46" s="131"/>
      <c r="M46" s="131"/>
      <c r="N46" s="131"/>
      <c r="O46" s="131"/>
      <c r="P46" s="132">
        <v>44470</v>
      </c>
      <c r="Q46" s="132">
        <v>44500</v>
      </c>
      <c r="R46" s="133"/>
      <c r="S46" s="134">
        <v>21</v>
      </c>
      <c r="T46" s="134">
        <v>0</v>
      </c>
      <c r="U46" s="134">
        <v>21</v>
      </c>
      <c r="V46" s="134">
        <v>0</v>
      </c>
      <c r="W46" s="132"/>
      <c r="X46" s="132"/>
      <c r="Y46" s="135">
        <v>0</v>
      </c>
      <c r="Z46" s="136">
        <v>0</v>
      </c>
      <c r="AA46" s="134"/>
      <c r="AB46" s="133" t="s">
        <v>1424</v>
      </c>
      <c r="AC46" s="137"/>
      <c r="AD46" s="138">
        <v>0</v>
      </c>
      <c r="AE46" s="193">
        <v>0</v>
      </c>
      <c r="AF46" s="139"/>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c r="BQ46" s="140"/>
      <c r="BR46" s="140"/>
      <c r="BS46" s="140" t="str">
        <f>"     " &amp; TEXT(AE46,"#0.00%") &amp; " "</f>
        <v xml:space="preserve">     0.00% </v>
      </c>
      <c r="BT46" s="140"/>
      <c r="BU46" s="140"/>
      <c r="BV46" s="140"/>
      <c r="BW46" s="140"/>
      <c r="BX46" s="140" t="str">
        <f>" " &amp; "연동 테스트" &amp; "(신용윤)" &amp; " " &amp; IF(P46="","",TEXT(P46,"M/D-")) &amp; IF(Q46="","",TEXT(Q46,"M/D")) &amp; " "</f>
        <v xml:space="preserve"> 연동 테스트(신용윤) 10/1-10/31 </v>
      </c>
      <c r="BY46" s="140"/>
      <c r="BZ46" s="140"/>
      <c r="CA46" s="140"/>
      <c r="CB46" s="140"/>
      <c r="CC46" s="140"/>
      <c r="CD46" s="140"/>
      <c r="CE46" s="140"/>
      <c r="CF46" s="140"/>
      <c r="CG46" s="140"/>
    </row>
    <row r="47" spans="1:85" ht="12" customHeight="1" outlineLevel="3">
      <c r="A47" s="129"/>
      <c r="B47" s="129"/>
      <c r="C47" s="129">
        <v>4</v>
      </c>
      <c r="D47" s="130" t="s">
        <v>1552</v>
      </c>
      <c r="E47" s="131"/>
      <c r="F47" s="131"/>
      <c r="G47" s="131"/>
      <c r="H47" s="131" t="s">
        <v>1550</v>
      </c>
      <c r="I47" s="131"/>
      <c r="J47" s="131"/>
      <c r="K47" s="131"/>
      <c r="L47" s="131"/>
      <c r="M47" s="131"/>
      <c r="N47" s="131"/>
      <c r="O47" s="131"/>
      <c r="P47" s="132">
        <v>44470</v>
      </c>
      <c r="Q47" s="132">
        <v>44500</v>
      </c>
      <c r="R47" s="133"/>
      <c r="S47" s="134">
        <v>21</v>
      </c>
      <c r="T47" s="134">
        <v>0</v>
      </c>
      <c r="U47" s="134">
        <v>21</v>
      </c>
      <c r="V47" s="134">
        <v>0</v>
      </c>
      <c r="W47" s="132"/>
      <c r="X47" s="132"/>
      <c r="Y47" s="135"/>
      <c r="Z47" s="136">
        <v>0</v>
      </c>
      <c r="AA47" s="134"/>
      <c r="AB47" s="133" t="s">
        <v>1424</v>
      </c>
      <c r="AC47" s="137"/>
      <c r="AD47" s="138">
        <v>0</v>
      </c>
      <c r="AE47" s="165">
        <v>0</v>
      </c>
      <c r="AF47" s="139"/>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40"/>
      <c r="BL47" s="140"/>
      <c r="BM47" s="140"/>
      <c r="BN47" s="140"/>
      <c r="BO47" s="140"/>
      <c r="BP47" s="140"/>
      <c r="BQ47" s="140"/>
      <c r="BR47" s="140"/>
      <c r="BS47" s="140" t="str">
        <f>"     " &amp; TEXT(AE47,"#0.00%") &amp; " "</f>
        <v xml:space="preserve">     0.00% </v>
      </c>
      <c r="BT47" s="140"/>
      <c r="BU47" s="140"/>
      <c r="BV47" s="140"/>
      <c r="BW47" s="140"/>
      <c r="BX47" s="140" t="str">
        <f>" " &amp; "user lib 연동 테스트" &amp; "(신용윤)" &amp; " " &amp; IF(P47="","",TEXT(P47,"M/D-")) &amp; IF(Q47="","",TEXT(Q47,"M/D")) &amp; " "</f>
        <v xml:space="preserve"> user lib 연동 테스트(신용윤) 10/1-10/31 </v>
      </c>
      <c r="BY47" s="140"/>
      <c r="BZ47" s="140"/>
      <c r="CA47" s="140"/>
      <c r="CB47" s="140"/>
      <c r="CC47" s="140"/>
      <c r="CD47" s="140"/>
      <c r="CE47" s="140"/>
      <c r="CF47" s="140"/>
      <c r="CG47" s="140"/>
    </row>
    <row r="48" spans="1:85" ht="12" customHeight="1">
      <c r="A48" s="129"/>
      <c r="B48" s="129" t="s">
        <v>1353</v>
      </c>
      <c r="C48" s="129">
        <v>1</v>
      </c>
      <c r="D48" s="130" t="s">
        <v>1059</v>
      </c>
      <c r="E48" s="131" t="s">
        <v>1421</v>
      </c>
      <c r="F48" s="131"/>
      <c r="G48" s="131"/>
      <c r="H48" s="131"/>
      <c r="I48" s="131"/>
      <c r="J48" s="131"/>
      <c r="K48" s="131"/>
      <c r="L48" s="131"/>
      <c r="M48" s="131"/>
      <c r="N48" s="131"/>
      <c r="O48" s="131"/>
      <c r="P48" s="132">
        <v>44197</v>
      </c>
      <c r="Q48" s="132">
        <v>44561</v>
      </c>
      <c r="R48" s="133"/>
      <c r="S48" s="134">
        <v>363</v>
      </c>
      <c r="T48" s="134">
        <v>44</v>
      </c>
      <c r="U48" s="134">
        <v>252</v>
      </c>
      <c r="V48" s="134">
        <v>22</v>
      </c>
      <c r="W48" s="132"/>
      <c r="X48" s="132"/>
      <c r="Y48" s="135">
        <v>0</v>
      </c>
      <c r="Z48" s="136">
        <v>0</v>
      </c>
      <c r="AA48" s="134"/>
      <c r="AB48" s="133" t="s">
        <v>1403</v>
      </c>
      <c r="AC48" s="137"/>
      <c r="AD48" s="138">
        <v>0.12121212121212122</v>
      </c>
      <c r="AE48" s="196">
        <v>0</v>
      </c>
      <c r="AF48" s="139" t="str">
        <f>"     " &amp; TEXT(AE48,"#0.00%") &amp; " "</f>
        <v xml:space="preserve">     0.00% </v>
      </c>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M48" s="140"/>
      <c r="BN48" s="140"/>
      <c r="BO48" s="140"/>
      <c r="BP48" s="140"/>
      <c r="BQ48" s="140"/>
      <c r="BR48" s="140"/>
      <c r="BS48" s="140"/>
      <c r="BT48" s="140"/>
      <c r="BU48" s="140"/>
      <c r="BV48" s="140"/>
      <c r="BW48" s="140"/>
      <c r="BX48" s="140"/>
      <c r="BY48" s="140"/>
      <c r="BZ48" s="140"/>
      <c r="CA48" s="140"/>
      <c r="CB48" s="140"/>
      <c r="CC48" s="140"/>
      <c r="CD48" s="140"/>
      <c r="CE48" s="140"/>
      <c r="CF48" s="140" t="str">
        <f>"      " &amp; "성능개선 (프레임워크 core enabler 고도화)" &amp; "(신용윤,박세형)" &amp; " " &amp; IF(P48="","",TEXT(P48,"M/D-")) &amp; IF(Q48="","",TEXT(Q48,"M/D")) &amp; " "</f>
        <v xml:space="preserve">      성능개선 (프레임워크 core enabler 고도화)(신용윤,박세형) 1/1-12/31 </v>
      </c>
      <c r="CG48" s="140"/>
    </row>
    <row r="49" spans="1:85" ht="12" customHeight="1" outlineLevel="1">
      <c r="A49" s="129"/>
      <c r="B49" s="129" t="s">
        <v>1353</v>
      </c>
      <c r="C49" s="129">
        <v>2</v>
      </c>
      <c r="D49" s="130" t="s">
        <v>1254</v>
      </c>
      <c r="E49" s="131"/>
      <c r="F49" s="131" t="s">
        <v>1399</v>
      </c>
      <c r="G49" s="131"/>
      <c r="H49" s="131"/>
      <c r="I49" s="131"/>
      <c r="J49" s="131"/>
      <c r="K49" s="131"/>
      <c r="L49" s="131"/>
      <c r="M49" s="131"/>
      <c r="N49" s="131"/>
      <c r="O49" s="131"/>
      <c r="P49" s="132">
        <v>44197</v>
      </c>
      <c r="Q49" s="132">
        <v>44561</v>
      </c>
      <c r="R49" s="133"/>
      <c r="S49" s="134">
        <v>363</v>
      </c>
      <c r="T49" s="134">
        <v>44</v>
      </c>
      <c r="U49" s="134">
        <v>252</v>
      </c>
      <c r="V49" s="134">
        <v>22</v>
      </c>
      <c r="W49" s="132"/>
      <c r="X49" s="132"/>
      <c r="Y49" s="135">
        <v>0</v>
      </c>
      <c r="Z49" s="136">
        <v>0</v>
      </c>
      <c r="AA49" s="134"/>
      <c r="AB49" s="133" t="s">
        <v>1403</v>
      </c>
      <c r="AC49" s="137"/>
      <c r="AD49" s="138">
        <v>0.12121212121212122</v>
      </c>
      <c r="AE49" s="196">
        <v>0</v>
      </c>
      <c r="AF49" s="139" t="str">
        <f>"     " &amp; TEXT(AE49,"#0.00%") &amp; " "</f>
        <v xml:space="preserve">     0.00% </v>
      </c>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c r="BM49" s="140"/>
      <c r="BN49" s="140"/>
      <c r="BO49" s="140"/>
      <c r="BP49" s="140"/>
      <c r="BQ49" s="140"/>
      <c r="BR49" s="140"/>
      <c r="BS49" s="140"/>
      <c r="BT49" s="140"/>
      <c r="BU49" s="140"/>
      <c r="BV49" s="140"/>
      <c r="BW49" s="140"/>
      <c r="BX49" s="140"/>
      <c r="BY49" s="140"/>
      <c r="BZ49" s="140"/>
      <c r="CA49" s="140"/>
      <c r="CB49" s="140"/>
      <c r="CC49" s="140"/>
      <c r="CD49" s="140"/>
      <c r="CE49" s="140"/>
      <c r="CF49" s="140" t="str">
        <f>"      " &amp; "최적화/안정화" &amp; "(신용윤,박세형)" &amp; " " &amp; IF(P49="","",TEXT(P49,"M/D-")) &amp; IF(Q49="","",TEXT(Q49,"M/D")) &amp; " "</f>
        <v xml:space="preserve">      최적화/안정화(신용윤,박세형) 1/1-12/31 </v>
      </c>
      <c r="CG49" s="140"/>
    </row>
    <row r="50" spans="1:85" ht="12" customHeight="1" outlineLevel="2">
      <c r="A50" s="129"/>
      <c r="B50" s="129" t="s">
        <v>1353</v>
      </c>
      <c r="C50" s="129">
        <v>3</v>
      </c>
      <c r="D50" s="234" t="s">
        <v>1245</v>
      </c>
      <c r="E50" s="235"/>
      <c r="F50" s="235"/>
      <c r="G50" s="235" t="s">
        <v>1451</v>
      </c>
      <c r="H50" s="235"/>
      <c r="I50" s="235"/>
      <c r="J50" s="235"/>
      <c r="K50" s="235"/>
      <c r="L50" s="235"/>
      <c r="M50" s="235"/>
      <c r="N50" s="235"/>
      <c r="O50" s="235"/>
      <c r="P50" s="236">
        <v>44197</v>
      </c>
      <c r="Q50" s="236">
        <v>44286</v>
      </c>
      <c r="R50" s="237"/>
      <c r="S50" s="238">
        <v>98</v>
      </c>
      <c r="T50" s="238">
        <v>44</v>
      </c>
      <c r="U50" s="238">
        <v>60</v>
      </c>
      <c r="V50" s="238">
        <v>22</v>
      </c>
      <c r="W50" s="236"/>
      <c r="X50" s="236"/>
      <c r="Y50" s="239">
        <v>0</v>
      </c>
      <c r="Z50" s="240">
        <v>0</v>
      </c>
      <c r="AA50" s="238"/>
      <c r="AB50" s="237" t="s">
        <v>1403</v>
      </c>
      <c r="AC50" s="241"/>
      <c r="AD50" s="242">
        <v>0.44897959183673469</v>
      </c>
      <c r="AE50" s="196">
        <v>0</v>
      </c>
      <c r="AF50" s="139" t="str">
        <f>"     " &amp; TEXT(AE50,"#0.00%") &amp; " "</f>
        <v xml:space="preserve">     0.00% </v>
      </c>
      <c r="AG50" s="140"/>
      <c r="AH50" s="140"/>
      <c r="AI50" s="140"/>
      <c r="AJ50" s="140"/>
      <c r="AK50" s="140"/>
      <c r="AL50" s="140"/>
      <c r="AM50" s="140"/>
      <c r="AN50" s="140"/>
      <c r="AO50" s="140"/>
      <c r="AP50" s="140"/>
      <c r="AQ50" s="140"/>
      <c r="AR50" s="140"/>
      <c r="AS50" s="140" t="str">
        <f>"    " &amp; "DIFS 2020 프로파일링" &amp; "(신용윤,박세형)" &amp; " " &amp; IF(P50="","",TEXT(P50,"M/D-")) &amp; IF(Q50="","",TEXT(Q50,"M/D")) &amp; " "</f>
        <v xml:space="preserve">    DIFS 2020 프로파일링(신용윤,박세형) 1/1-3/31 </v>
      </c>
      <c r="AT50" s="140"/>
      <c r="AU50" s="140"/>
      <c r="AV50" s="140"/>
      <c r="AW50" s="140"/>
      <c r="AX50" s="140"/>
      <c r="AY50" s="140"/>
      <c r="AZ50" s="140"/>
      <c r="BA50" s="140"/>
      <c r="BB50" s="140"/>
      <c r="BC50" s="140"/>
      <c r="BD50" s="140"/>
      <c r="BE50" s="140"/>
      <c r="BF50" s="140"/>
      <c r="BG50" s="140"/>
      <c r="BH50" s="140"/>
      <c r="BI50" s="140"/>
      <c r="BJ50" s="140"/>
      <c r="BK50" s="140"/>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row>
    <row r="51" spans="1:85" ht="12" customHeight="1" outlineLevel="3">
      <c r="A51" s="129"/>
      <c r="B51" s="129"/>
      <c r="C51" s="129">
        <v>4</v>
      </c>
      <c r="D51" s="234" t="s">
        <v>1467</v>
      </c>
      <c r="E51" s="235"/>
      <c r="F51" s="235"/>
      <c r="G51" s="235"/>
      <c r="H51" s="235" t="s">
        <v>1450</v>
      </c>
      <c r="I51" s="235"/>
      <c r="J51" s="235"/>
      <c r="K51" s="235"/>
      <c r="L51" s="235"/>
      <c r="M51" s="235"/>
      <c r="N51" s="235"/>
      <c r="O51" s="235"/>
      <c r="P51" s="236">
        <v>44197</v>
      </c>
      <c r="Q51" s="236">
        <v>44255</v>
      </c>
      <c r="R51" s="237"/>
      <c r="S51" s="238">
        <v>76</v>
      </c>
      <c r="T51" s="238">
        <v>44</v>
      </c>
      <c r="U51" s="238">
        <v>38</v>
      </c>
      <c r="V51" s="238">
        <v>22</v>
      </c>
      <c r="W51" s="236"/>
      <c r="X51" s="236"/>
      <c r="Y51" s="239"/>
      <c r="Z51" s="240">
        <v>0</v>
      </c>
      <c r="AA51" s="238"/>
      <c r="AB51" s="237" t="s">
        <v>1403</v>
      </c>
      <c r="AC51" s="241"/>
      <c r="AD51" s="242">
        <v>0.57894736842105265</v>
      </c>
      <c r="AE51" s="195">
        <v>0</v>
      </c>
      <c r="AF51" s="139" t="str">
        <f>"     " &amp; TEXT(AE51,"#0.00%") &amp; " "</f>
        <v xml:space="preserve">     0.00% </v>
      </c>
      <c r="AG51" s="140"/>
      <c r="AH51" s="140"/>
      <c r="AI51" s="140"/>
      <c r="AJ51" s="140"/>
      <c r="AK51" s="140"/>
      <c r="AL51" s="140"/>
      <c r="AM51" s="140"/>
      <c r="AN51" s="140"/>
      <c r="AO51" s="140" t="str">
        <f>" " &amp; "DIFS 2020 프로파일링 결과 분석" &amp; "(신용윤,박세형)" &amp; " " &amp; IF(P51="","",TEXT(P51,"M/D-")) &amp; IF(Q51="","",TEXT(Q51,"M/D")) &amp; " "</f>
        <v xml:space="preserve"> DIFS 2020 프로파일링 결과 분석(신용윤,박세형) 1/1-2/28 </v>
      </c>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c r="BL51" s="140"/>
      <c r="BM51" s="140"/>
      <c r="BN51" s="140"/>
      <c r="BO51" s="140"/>
      <c r="BP51" s="140"/>
      <c r="BQ51" s="140"/>
      <c r="BR51" s="140"/>
      <c r="BS51" s="140"/>
      <c r="BT51" s="140"/>
      <c r="BU51" s="140"/>
      <c r="BV51" s="140"/>
      <c r="BW51" s="140"/>
      <c r="BX51" s="140"/>
      <c r="BY51" s="140"/>
      <c r="BZ51" s="140"/>
      <c r="CA51" s="140"/>
      <c r="CB51" s="140"/>
      <c r="CC51" s="140"/>
      <c r="CD51" s="140"/>
      <c r="CE51" s="140"/>
      <c r="CF51" s="140"/>
      <c r="CG51" s="140"/>
    </row>
    <row r="52" spans="1:85" ht="12" customHeight="1" outlineLevel="3">
      <c r="A52" s="129"/>
      <c r="B52" s="129"/>
      <c r="C52" s="129">
        <v>4</v>
      </c>
      <c r="D52" s="234" t="s">
        <v>1468</v>
      </c>
      <c r="E52" s="235"/>
      <c r="F52" s="235"/>
      <c r="G52" s="235"/>
      <c r="H52" s="235" t="s">
        <v>1452</v>
      </c>
      <c r="I52" s="235"/>
      <c r="J52" s="235"/>
      <c r="K52" s="235"/>
      <c r="L52" s="235"/>
      <c r="M52" s="235"/>
      <c r="N52" s="235"/>
      <c r="O52" s="235"/>
      <c r="P52" s="236">
        <v>44256</v>
      </c>
      <c r="Q52" s="236">
        <v>44286</v>
      </c>
      <c r="R52" s="237"/>
      <c r="S52" s="238">
        <v>22</v>
      </c>
      <c r="T52" s="238">
        <v>0</v>
      </c>
      <c r="U52" s="238">
        <v>22</v>
      </c>
      <c r="V52" s="238">
        <v>0</v>
      </c>
      <c r="W52" s="236"/>
      <c r="X52" s="236"/>
      <c r="Y52" s="239"/>
      <c r="Z52" s="240">
        <v>0</v>
      </c>
      <c r="AA52" s="238"/>
      <c r="AB52" s="237" t="s">
        <v>1419</v>
      </c>
      <c r="AC52" s="241"/>
      <c r="AD52" s="242">
        <v>0</v>
      </c>
      <c r="AE52" s="165">
        <v>0</v>
      </c>
      <c r="AF52" s="139"/>
      <c r="AG52" s="140"/>
      <c r="AH52" s="140"/>
      <c r="AI52" s="140"/>
      <c r="AJ52" s="140"/>
      <c r="AK52" s="140"/>
      <c r="AL52" s="140"/>
      <c r="AM52" s="140"/>
      <c r="AN52" s="140"/>
      <c r="AO52" s="140" t="str">
        <f>" " &amp; TEXT(AE52,"#0.00%") &amp; " "</f>
        <v xml:space="preserve"> 0.00% </v>
      </c>
      <c r="AP52" s="140"/>
      <c r="AQ52" s="140"/>
      <c r="AR52" s="140"/>
      <c r="AS52" s="140" t="str">
        <f>"    " &amp; "DIFS 2020 코드 최적화" &amp; "(박세형)" &amp; " " &amp; IF(P52="","",TEXT(P52,"M/D-")) &amp; IF(Q52="","",TEXT(Q52,"M/D")) &amp; " "</f>
        <v xml:space="preserve">    DIFS 2020 코드 최적화(박세형) 3/1-3/31 </v>
      </c>
      <c r="AT52" s="140"/>
      <c r="AU52" s="140"/>
      <c r="AV52" s="140"/>
      <c r="AW52" s="140"/>
      <c r="AX52" s="140"/>
      <c r="AY52" s="140"/>
      <c r="AZ52" s="140"/>
      <c r="BA52" s="140"/>
      <c r="BB52" s="140"/>
      <c r="BC52" s="140"/>
      <c r="BD52" s="140"/>
      <c r="BE52" s="140"/>
      <c r="BF52" s="140"/>
      <c r="BG52" s="140"/>
      <c r="BH52" s="140"/>
      <c r="BI52" s="140"/>
      <c r="BJ52" s="140"/>
      <c r="BK52" s="140"/>
      <c r="BL52" s="140"/>
      <c r="BM52" s="140"/>
      <c r="BN52" s="140"/>
      <c r="BO52" s="140"/>
      <c r="BP52" s="140"/>
      <c r="BQ52" s="140"/>
      <c r="BR52" s="140"/>
      <c r="BS52" s="140"/>
      <c r="BT52" s="140"/>
      <c r="BU52" s="140"/>
      <c r="BV52" s="140"/>
      <c r="BW52" s="140"/>
      <c r="BX52" s="140"/>
      <c r="BY52" s="140"/>
      <c r="BZ52" s="140"/>
      <c r="CA52" s="140"/>
      <c r="CB52" s="140"/>
      <c r="CC52" s="140"/>
      <c r="CD52" s="140"/>
      <c r="CE52" s="140"/>
      <c r="CF52" s="140"/>
      <c r="CG52" s="140"/>
    </row>
    <row r="53" spans="1:85" ht="12" customHeight="1" outlineLevel="2">
      <c r="A53" s="129"/>
      <c r="B53" s="129" t="s">
        <v>1353</v>
      </c>
      <c r="C53" s="129">
        <v>3</v>
      </c>
      <c r="D53" s="234" t="s">
        <v>1246</v>
      </c>
      <c r="E53" s="235"/>
      <c r="F53" s="235"/>
      <c r="G53" s="235" t="s">
        <v>1469</v>
      </c>
      <c r="H53" s="235"/>
      <c r="I53" s="235"/>
      <c r="J53" s="235"/>
      <c r="K53" s="235"/>
      <c r="L53" s="235"/>
      <c r="M53" s="235"/>
      <c r="N53" s="235"/>
      <c r="O53" s="235"/>
      <c r="P53" s="236">
        <v>44378</v>
      </c>
      <c r="Q53" s="236">
        <v>44561</v>
      </c>
      <c r="R53" s="237"/>
      <c r="S53" s="238">
        <v>265</v>
      </c>
      <c r="T53" s="238">
        <v>0</v>
      </c>
      <c r="U53" s="238">
        <v>129</v>
      </c>
      <c r="V53" s="238">
        <v>0</v>
      </c>
      <c r="W53" s="236"/>
      <c r="X53" s="236"/>
      <c r="Y53" s="239">
        <v>0</v>
      </c>
      <c r="Z53" s="240">
        <v>0</v>
      </c>
      <c r="AA53" s="238"/>
      <c r="AB53" s="237" t="s">
        <v>1403</v>
      </c>
      <c r="AC53" s="241"/>
      <c r="AD53" s="242">
        <v>0</v>
      </c>
      <c r="AE53" s="193">
        <v>0</v>
      </c>
      <c r="AF53" s="139"/>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t="str">
        <f>"    " &amp; TEXT(AE53,"#0.00%") &amp; " "</f>
        <v xml:space="preserve">    0.00% </v>
      </c>
      <c r="BG53" s="140"/>
      <c r="BH53" s="140"/>
      <c r="BI53" s="140"/>
      <c r="BJ53" s="140"/>
      <c r="BK53" s="140"/>
      <c r="BL53" s="140"/>
      <c r="BM53" s="140"/>
      <c r="BN53" s="140"/>
      <c r="BO53" s="140"/>
      <c r="BP53" s="140"/>
      <c r="BQ53" s="140"/>
      <c r="BR53" s="140"/>
      <c r="BS53" s="140"/>
      <c r="BT53" s="140"/>
      <c r="BU53" s="140"/>
      <c r="BV53" s="140"/>
      <c r="BW53" s="140"/>
      <c r="BX53" s="140"/>
      <c r="BY53" s="140"/>
      <c r="BZ53" s="140"/>
      <c r="CA53" s="140"/>
      <c r="CB53" s="140"/>
      <c r="CC53" s="140"/>
      <c r="CD53" s="140"/>
      <c r="CE53" s="140"/>
      <c r="CF53" s="140" t="str">
        <f>"      " &amp; "DIFS 2021 프로파일링" &amp; "(신용윤,박세형)" &amp; " " &amp; IF(P53="","",TEXT(P53,"M/D-")) &amp; IF(Q53="","",TEXT(Q53,"M/D")) &amp; " "</f>
        <v xml:space="preserve">      DIFS 2021 프로파일링(신용윤,박세형) 7/1-12/31 </v>
      </c>
      <c r="CG53" s="140"/>
    </row>
    <row r="54" spans="1:85" ht="12" customHeight="1" outlineLevel="3">
      <c r="A54" s="129"/>
      <c r="B54" s="129"/>
      <c r="C54" s="129">
        <v>4</v>
      </c>
      <c r="D54" s="234" t="s">
        <v>1247</v>
      </c>
      <c r="E54" s="235"/>
      <c r="F54" s="235"/>
      <c r="G54" s="235"/>
      <c r="H54" s="235" t="s">
        <v>1470</v>
      </c>
      <c r="I54" s="235"/>
      <c r="J54" s="235"/>
      <c r="K54" s="235"/>
      <c r="L54" s="235"/>
      <c r="M54" s="235"/>
      <c r="N54" s="235"/>
      <c r="O54" s="235"/>
      <c r="P54" s="236">
        <v>44378</v>
      </c>
      <c r="Q54" s="236">
        <v>44408</v>
      </c>
      <c r="R54" s="237"/>
      <c r="S54" s="238">
        <v>44</v>
      </c>
      <c r="T54" s="238">
        <v>0</v>
      </c>
      <c r="U54" s="238">
        <v>22</v>
      </c>
      <c r="V54" s="238">
        <v>0</v>
      </c>
      <c r="W54" s="236"/>
      <c r="X54" s="236"/>
      <c r="Y54" s="239"/>
      <c r="Z54" s="240">
        <v>0</v>
      </c>
      <c r="AA54" s="238"/>
      <c r="AB54" s="237" t="s">
        <v>1403</v>
      </c>
      <c r="AC54" s="241"/>
      <c r="AD54" s="242">
        <v>0</v>
      </c>
      <c r="AE54" s="165">
        <v>0</v>
      </c>
      <c r="AF54" s="139"/>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t="str">
        <f>"    " &amp; TEXT(AE54,"#0.00%") &amp; " "</f>
        <v xml:space="preserve">    0.00% </v>
      </c>
      <c r="BG54" s="140"/>
      <c r="BH54" s="140"/>
      <c r="BI54" s="140"/>
      <c r="BJ54" s="140"/>
      <c r="BK54" s="140" t="str">
        <f>"" &amp; "ForwardingHint 결과분석" &amp; "(신용윤,박세형)" &amp; " " &amp; IF(P54="","",TEXT(P54,"M/D-")) &amp; IF(Q54="","",TEXT(Q54,"M/D")) &amp; " "</f>
        <v xml:space="preserve">ForwardingHint 결과분석(신용윤,박세형) 7/1-7/31 </v>
      </c>
      <c r="BL54" s="140"/>
      <c r="BM54" s="140"/>
      <c r="BN54" s="140"/>
      <c r="BO54" s="140"/>
      <c r="BP54" s="140"/>
      <c r="BQ54" s="140"/>
      <c r="BR54" s="140"/>
      <c r="BS54" s="140"/>
      <c r="BT54" s="140"/>
      <c r="BU54" s="140"/>
      <c r="BV54" s="140"/>
      <c r="BW54" s="140"/>
      <c r="BX54" s="140"/>
      <c r="BY54" s="140"/>
      <c r="BZ54" s="140"/>
      <c r="CA54" s="140"/>
      <c r="CB54" s="140"/>
      <c r="CC54" s="140"/>
      <c r="CD54" s="140"/>
      <c r="CE54" s="140"/>
      <c r="CF54" s="140"/>
      <c r="CG54" s="140"/>
    </row>
    <row r="55" spans="1:85" ht="12" customHeight="1" outlineLevel="3">
      <c r="A55" s="129"/>
      <c r="B55" s="129"/>
      <c r="C55" s="129">
        <v>4</v>
      </c>
      <c r="D55" s="234" t="s">
        <v>1248</v>
      </c>
      <c r="E55" s="235"/>
      <c r="F55" s="235"/>
      <c r="G55" s="235"/>
      <c r="H55" s="235" t="s">
        <v>1471</v>
      </c>
      <c r="I55" s="235"/>
      <c r="J55" s="235"/>
      <c r="K55" s="235"/>
      <c r="L55" s="235"/>
      <c r="M55" s="235"/>
      <c r="N55" s="235"/>
      <c r="O55" s="235"/>
      <c r="P55" s="236">
        <v>44409</v>
      </c>
      <c r="Q55" s="236">
        <v>44439</v>
      </c>
      <c r="R55" s="237"/>
      <c r="S55" s="238">
        <v>22</v>
      </c>
      <c r="T55" s="238">
        <v>0</v>
      </c>
      <c r="U55" s="238">
        <v>22</v>
      </c>
      <c r="V55" s="238">
        <v>0</v>
      </c>
      <c r="W55" s="236"/>
      <c r="X55" s="236"/>
      <c r="Y55" s="239"/>
      <c r="Z55" s="240">
        <v>0</v>
      </c>
      <c r="AA55" s="238"/>
      <c r="AB55" s="237" t="s">
        <v>1419</v>
      </c>
      <c r="AC55" s="241"/>
      <c r="AD55" s="242">
        <v>0</v>
      </c>
      <c r="AE55" s="165">
        <v>0</v>
      </c>
      <c r="AF55" s="139"/>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t="str">
        <f>"" &amp; TEXT(AE55,"#0.00%") &amp; " "</f>
        <v xml:space="preserve">0.00% </v>
      </c>
      <c r="BL55" s="140"/>
      <c r="BM55" s="140"/>
      <c r="BN55" s="140"/>
      <c r="BO55" s="140" t="str">
        <f>"   " &amp; "ForwardingHint 코드 최적화" &amp; "(박세형)" &amp; " " &amp; IF(P55="","",TEXT(P55,"M/D-")) &amp; IF(Q55="","",TEXT(Q55,"M/D")) &amp; " "</f>
        <v xml:space="preserve">   ForwardingHint 코드 최적화(박세형) 8/1-8/31 </v>
      </c>
      <c r="BP55" s="140"/>
      <c r="BQ55" s="140"/>
      <c r="BR55" s="140"/>
      <c r="BS55" s="140"/>
      <c r="BT55" s="140"/>
      <c r="BU55" s="140"/>
      <c r="BV55" s="140"/>
      <c r="BW55" s="140"/>
      <c r="BX55" s="140"/>
      <c r="BY55" s="140"/>
      <c r="BZ55" s="140"/>
      <c r="CA55" s="140"/>
      <c r="CB55" s="140"/>
      <c r="CC55" s="140"/>
      <c r="CD55" s="140"/>
      <c r="CE55" s="140"/>
      <c r="CF55" s="140"/>
      <c r="CG55" s="140"/>
    </row>
    <row r="56" spans="1:85" ht="12" customHeight="1" outlineLevel="3">
      <c r="A56" s="129"/>
      <c r="B56" s="129"/>
      <c r="C56" s="129">
        <v>4</v>
      </c>
      <c r="D56" s="234" t="s">
        <v>1478</v>
      </c>
      <c r="E56" s="235"/>
      <c r="F56" s="235"/>
      <c r="G56" s="235"/>
      <c r="H56" s="235" t="s">
        <v>1472</v>
      </c>
      <c r="I56" s="235"/>
      <c r="J56" s="235"/>
      <c r="K56" s="235"/>
      <c r="L56" s="235"/>
      <c r="M56" s="235"/>
      <c r="N56" s="235"/>
      <c r="O56" s="235"/>
      <c r="P56" s="236">
        <v>44378</v>
      </c>
      <c r="Q56" s="236">
        <v>44408</v>
      </c>
      <c r="R56" s="237"/>
      <c r="S56" s="238">
        <v>44</v>
      </c>
      <c r="T56" s="238">
        <v>0</v>
      </c>
      <c r="U56" s="238">
        <v>22</v>
      </c>
      <c r="V56" s="238">
        <v>0</v>
      </c>
      <c r="W56" s="236"/>
      <c r="X56" s="236"/>
      <c r="Y56" s="239"/>
      <c r="Z56" s="240">
        <v>0</v>
      </c>
      <c r="AA56" s="238"/>
      <c r="AB56" s="237" t="s">
        <v>1403</v>
      </c>
      <c r="AC56" s="241"/>
      <c r="AD56" s="242">
        <v>0</v>
      </c>
      <c r="AE56" s="165">
        <v>0</v>
      </c>
      <c r="AF56" s="139"/>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t="str">
        <f>"    " &amp; TEXT(AE56,"#0.00%") &amp; " "</f>
        <v xml:space="preserve">    0.00% </v>
      </c>
      <c r="BG56" s="140"/>
      <c r="BH56" s="140"/>
      <c r="BI56" s="140"/>
      <c r="BJ56" s="140"/>
      <c r="BK56" s="140" t="str">
        <f>"" &amp; "KeyValue Store 결과분석" &amp; "(신용윤,박세형)" &amp; " " &amp; IF(P56="","",TEXT(P56,"M/D-")) &amp; IF(Q56="","",TEXT(Q56,"M/D")) &amp; " "</f>
        <v xml:space="preserve">KeyValue Store 결과분석(신용윤,박세형) 7/1-7/31 </v>
      </c>
      <c r="BL56" s="140"/>
      <c r="BM56" s="140"/>
      <c r="BN56" s="140"/>
      <c r="BO56" s="140"/>
      <c r="BP56" s="140"/>
      <c r="BQ56" s="140"/>
      <c r="BR56" s="140"/>
      <c r="BS56" s="140"/>
      <c r="BT56" s="140"/>
      <c r="BU56" s="140"/>
      <c r="BV56" s="140"/>
      <c r="BW56" s="140"/>
      <c r="BX56" s="140"/>
      <c r="BY56" s="140"/>
      <c r="BZ56" s="140"/>
      <c r="CA56" s="140"/>
      <c r="CB56" s="140"/>
      <c r="CC56" s="140"/>
      <c r="CD56" s="140"/>
      <c r="CE56" s="140"/>
      <c r="CF56" s="140"/>
      <c r="CG56" s="140"/>
    </row>
    <row r="57" spans="1:85" ht="12" customHeight="1" outlineLevel="3">
      <c r="A57" s="129"/>
      <c r="B57" s="129"/>
      <c r="C57" s="129">
        <v>4</v>
      </c>
      <c r="D57" s="234" t="s">
        <v>1479</v>
      </c>
      <c r="E57" s="235"/>
      <c r="F57" s="235"/>
      <c r="G57" s="235"/>
      <c r="H57" s="235" t="s">
        <v>1473</v>
      </c>
      <c r="I57" s="235"/>
      <c r="J57" s="235"/>
      <c r="K57" s="235"/>
      <c r="L57" s="235"/>
      <c r="M57" s="235"/>
      <c r="N57" s="235"/>
      <c r="O57" s="235"/>
      <c r="P57" s="236">
        <v>44409</v>
      </c>
      <c r="Q57" s="236">
        <v>44439</v>
      </c>
      <c r="R57" s="237"/>
      <c r="S57" s="238">
        <v>22</v>
      </c>
      <c r="T57" s="238">
        <v>0</v>
      </c>
      <c r="U57" s="238">
        <v>22</v>
      </c>
      <c r="V57" s="238">
        <v>0</v>
      </c>
      <c r="W57" s="236"/>
      <c r="X57" s="236"/>
      <c r="Y57" s="239"/>
      <c r="Z57" s="240">
        <v>0</v>
      </c>
      <c r="AA57" s="238"/>
      <c r="AB57" s="237" t="s">
        <v>1419</v>
      </c>
      <c r="AC57" s="241"/>
      <c r="AD57" s="242">
        <v>0</v>
      </c>
      <c r="AE57" s="165">
        <v>0</v>
      </c>
      <c r="AF57" s="139"/>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140"/>
      <c r="BG57" s="140"/>
      <c r="BH57" s="140"/>
      <c r="BI57" s="140"/>
      <c r="BJ57" s="140"/>
      <c r="BK57" s="140" t="str">
        <f>"" &amp; TEXT(AE57,"#0.00%") &amp; " "</f>
        <v xml:space="preserve">0.00% </v>
      </c>
      <c r="BL57" s="140"/>
      <c r="BM57" s="140"/>
      <c r="BN57" s="140"/>
      <c r="BO57" s="140" t="str">
        <f>"   " &amp; "KeyValue Store 코드 최적화" &amp; "(박세형)" &amp; " " &amp; IF(P57="","",TEXT(P57,"M/D-")) &amp; IF(Q57="","",TEXT(Q57,"M/D")) &amp; " "</f>
        <v xml:space="preserve">   KeyValue Store 코드 최적화(박세형) 8/1-8/31 </v>
      </c>
      <c r="BP57" s="140"/>
      <c r="BQ57" s="140"/>
      <c r="BR57" s="140"/>
      <c r="BS57" s="140"/>
      <c r="BT57" s="140"/>
      <c r="BU57" s="140"/>
      <c r="BV57" s="140"/>
      <c r="BW57" s="140"/>
      <c r="BX57" s="140"/>
      <c r="BY57" s="140"/>
      <c r="BZ57" s="140"/>
      <c r="CA57" s="140"/>
      <c r="CB57" s="140"/>
      <c r="CC57" s="140"/>
      <c r="CD57" s="140"/>
      <c r="CE57" s="140"/>
      <c r="CF57" s="140"/>
      <c r="CG57" s="140"/>
    </row>
    <row r="58" spans="1:85" ht="12" customHeight="1" outlineLevel="3">
      <c r="A58" s="129"/>
      <c r="B58" s="129"/>
      <c r="C58" s="129">
        <v>4</v>
      </c>
      <c r="D58" s="234" t="s">
        <v>1480</v>
      </c>
      <c r="E58" s="235"/>
      <c r="F58" s="235"/>
      <c r="G58" s="235"/>
      <c r="H58" s="235" t="s">
        <v>1474</v>
      </c>
      <c r="I58" s="235"/>
      <c r="J58" s="235"/>
      <c r="K58" s="235"/>
      <c r="L58" s="235"/>
      <c r="M58" s="235"/>
      <c r="N58" s="235"/>
      <c r="O58" s="235"/>
      <c r="P58" s="236">
        <v>44378</v>
      </c>
      <c r="Q58" s="236">
        <v>44408</v>
      </c>
      <c r="R58" s="237"/>
      <c r="S58" s="238">
        <v>44</v>
      </c>
      <c r="T58" s="238">
        <v>0</v>
      </c>
      <c r="U58" s="238">
        <v>22</v>
      </c>
      <c r="V58" s="238">
        <v>0</v>
      </c>
      <c r="W58" s="236"/>
      <c r="X58" s="236"/>
      <c r="Y58" s="239"/>
      <c r="Z58" s="240">
        <v>0</v>
      </c>
      <c r="AA58" s="238"/>
      <c r="AB58" s="237" t="s">
        <v>1484</v>
      </c>
      <c r="AC58" s="241"/>
      <c r="AD58" s="242">
        <v>0</v>
      </c>
      <c r="AE58" s="165">
        <v>0</v>
      </c>
      <c r="AF58" s="139"/>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t="str">
        <f>"    " &amp; TEXT(AE58,"#0.00%") &amp; " "</f>
        <v xml:space="preserve">    0.00% </v>
      </c>
      <c r="BG58" s="140"/>
      <c r="BH58" s="140"/>
      <c r="BI58" s="140"/>
      <c r="BJ58" s="140"/>
      <c r="BK58" s="140" t="str">
        <f>"" &amp; "user tool 결과분석" &amp; "(신용윤, 박세형)" &amp; " " &amp; IF(P58="","",TEXT(P58,"M/D-")) &amp; IF(Q58="","",TEXT(Q58,"M/D")) &amp; " "</f>
        <v xml:space="preserve">user tool 결과분석(신용윤, 박세형) 7/1-7/31 </v>
      </c>
      <c r="BL58" s="140"/>
      <c r="BM58" s="140"/>
      <c r="BN58" s="140"/>
      <c r="BO58" s="140"/>
      <c r="BP58" s="140"/>
      <c r="BQ58" s="140"/>
      <c r="BR58" s="140"/>
      <c r="BS58" s="140"/>
      <c r="BT58" s="140"/>
      <c r="BU58" s="140"/>
      <c r="BV58" s="140"/>
      <c r="BW58" s="140"/>
      <c r="BX58" s="140"/>
      <c r="BY58" s="140"/>
      <c r="BZ58" s="140"/>
      <c r="CA58" s="140"/>
      <c r="CB58" s="140"/>
      <c r="CC58" s="140"/>
      <c r="CD58" s="140"/>
      <c r="CE58" s="140"/>
      <c r="CF58" s="140"/>
      <c r="CG58" s="140"/>
    </row>
    <row r="59" spans="1:85" ht="12" customHeight="1" outlineLevel="3">
      <c r="A59" s="129"/>
      <c r="B59" s="129"/>
      <c r="C59" s="129">
        <v>4</v>
      </c>
      <c r="D59" s="234" t="s">
        <v>1481</v>
      </c>
      <c r="E59" s="235"/>
      <c r="F59" s="235"/>
      <c r="G59" s="235"/>
      <c r="H59" s="235" t="s">
        <v>1475</v>
      </c>
      <c r="I59" s="235"/>
      <c r="J59" s="235"/>
      <c r="K59" s="235"/>
      <c r="L59" s="235"/>
      <c r="M59" s="235"/>
      <c r="N59" s="235"/>
      <c r="O59" s="235"/>
      <c r="P59" s="236">
        <v>44409</v>
      </c>
      <c r="Q59" s="236">
        <v>44439</v>
      </c>
      <c r="R59" s="237"/>
      <c r="S59" s="238">
        <v>22</v>
      </c>
      <c r="T59" s="238">
        <v>0</v>
      </c>
      <c r="U59" s="238">
        <v>22</v>
      </c>
      <c r="V59" s="238">
        <v>0</v>
      </c>
      <c r="W59" s="236"/>
      <c r="X59" s="236"/>
      <c r="Y59" s="239"/>
      <c r="Z59" s="240">
        <v>0</v>
      </c>
      <c r="AA59" s="238"/>
      <c r="AB59" s="237" t="s">
        <v>1419</v>
      </c>
      <c r="AC59" s="241"/>
      <c r="AD59" s="242">
        <v>0</v>
      </c>
      <c r="AE59" s="165">
        <v>0</v>
      </c>
      <c r="AF59" s="139"/>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140"/>
      <c r="BK59" s="140" t="str">
        <f>"" &amp; TEXT(AE59,"#0.00%") &amp; " "</f>
        <v xml:space="preserve">0.00% </v>
      </c>
      <c r="BL59" s="140"/>
      <c r="BM59" s="140"/>
      <c r="BN59" s="140"/>
      <c r="BO59" s="140" t="str">
        <f>"   " &amp; "user tool 코드 최적화" &amp; "(박세형)" &amp; " " &amp; IF(P59="","",TEXT(P59,"M/D-")) &amp; IF(Q59="","",TEXT(Q59,"M/D")) &amp; " "</f>
        <v xml:space="preserve">   user tool 코드 최적화(박세형) 8/1-8/31 </v>
      </c>
      <c r="BP59" s="140"/>
      <c r="BQ59" s="140"/>
      <c r="BR59" s="140"/>
      <c r="BS59" s="140"/>
      <c r="BT59" s="140"/>
      <c r="BU59" s="140"/>
      <c r="BV59" s="140"/>
      <c r="BW59" s="140"/>
      <c r="BX59" s="140"/>
      <c r="BY59" s="140"/>
      <c r="BZ59" s="140"/>
      <c r="CA59" s="140"/>
      <c r="CB59" s="140"/>
      <c r="CC59" s="140"/>
      <c r="CD59" s="140"/>
      <c r="CE59" s="140"/>
      <c r="CF59" s="140"/>
      <c r="CG59" s="140"/>
    </row>
    <row r="60" spans="1:85" ht="12" customHeight="1" outlineLevel="3">
      <c r="A60" s="129"/>
      <c r="B60" s="129"/>
      <c r="C60" s="129">
        <v>4</v>
      </c>
      <c r="D60" s="234" t="s">
        <v>1482</v>
      </c>
      <c r="E60" s="235"/>
      <c r="F60" s="235"/>
      <c r="G60" s="235"/>
      <c r="H60" s="235" t="s">
        <v>1476</v>
      </c>
      <c r="I60" s="235"/>
      <c r="J60" s="235"/>
      <c r="K60" s="235"/>
      <c r="L60" s="235"/>
      <c r="M60" s="235"/>
      <c r="N60" s="235"/>
      <c r="O60" s="235"/>
      <c r="P60" s="236">
        <v>44501</v>
      </c>
      <c r="Q60" s="236">
        <v>44530</v>
      </c>
      <c r="R60" s="237"/>
      <c r="S60" s="238">
        <v>44</v>
      </c>
      <c r="T60" s="238">
        <v>0</v>
      </c>
      <c r="U60" s="238">
        <v>22</v>
      </c>
      <c r="V60" s="238">
        <v>0</v>
      </c>
      <c r="W60" s="236"/>
      <c r="X60" s="236"/>
      <c r="Y60" s="239"/>
      <c r="Z60" s="240">
        <v>0</v>
      </c>
      <c r="AA60" s="238"/>
      <c r="AB60" s="237" t="s">
        <v>1403</v>
      </c>
      <c r="AC60" s="241"/>
      <c r="AD60" s="242">
        <v>0</v>
      </c>
      <c r="AE60" s="165">
        <v>0</v>
      </c>
      <c r="AF60" s="139"/>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t="str">
        <f>" " &amp; TEXT(AE60,"#0.00%") &amp; " "</f>
        <v xml:space="preserve"> 0.00% </v>
      </c>
      <c r="BY60" s="140"/>
      <c r="BZ60" s="140"/>
      <c r="CA60" s="140"/>
      <c r="CB60" s="140" t="str">
        <f>"   " &amp; "동적 노드 구성 결과 분석" &amp; "(신용윤,박세형)" &amp; " " &amp; IF(P60="","",TEXT(P60,"M/D-")) &amp; IF(Q60="","",TEXT(Q60,"M/D")) &amp; " "</f>
        <v xml:space="preserve">   동적 노드 구성 결과 분석(신용윤,박세형) 11/1-11/30 </v>
      </c>
      <c r="CC60" s="140"/>
      <c r="CD60" s="140"/>
      <c r="CE60" s="140"/>
      <c r="CF60" s="140"/>
      <c r="CG60" s="140"/>
    </row>
    <row r="61" spans="1:85" ht="12" customHeight="1" outlineLevel="3">
      <c r="A61" s="129"/>
      <c r="B61" s="129"/>
      <c r="C61" s="129">
        <v>4</v>
      </c>
      <c r="D61" s="130" t="s">
        <v>1483</v>
      </c>
      <c r="E61" s="131"/>
      <c r="F61" s="131"/>
      <c r="G61" s="131"/>
      <c r="H61" s="131" t="s">
        <v>1477</v>
      </c>
      <c r="I61" s="131"/>
      <c r="J61" s="131"/>
      <c r="K61" s="131"/>
      <c r="L61" s="131"/>
      <c r="M61" s="131"/>
      <c r="N61" s="131"/>
      <c r="O61" s="131"/>
      <c r="P61" s="132">
        <v>44531</v>
      </c>
      <c r="Q61" s="132">
        <v>44561</v>
      </c>
      <c r="R61" s="133"/>
      <c r="S61" s="134">
        <v>23</v>
      </c>
      <c r="T61" s="134">
        <v>0</v>
      </c>
      <c r="U61" s="134">
        <v>23</v>
      </c>
      <c r="V61" s="134">
        <v>0</v>
      </c>
      <c r="W61" s="132"/>
      <c r="X61" s="132"/>
      <c r="Y61" s="135"/>
      <c r="Z61" s="136">
        <v>0</v>
      </c>
      <c r="AA61" s="134"/>
      <c r="AB61" s="133" t="s">
        <v>1419</v>
      </c>
      <c r="AC61" s="137"/>
      <c r="AD61" s="138">
        <v>0</v>
      </c>
      <c r="AE61" s="165">
        <v>0</v>
      </c>
      <c r="AF61" s="139"/>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t="str">
        <f>"   " &amp; TEXT(AE61,"#0.00%") &amp; " "</f>
        <v xml:space="preserve">   0.00% </v>
      </c>
      <c r="CC61" s="140"/>
      <c r="CD61" s="140"/>
      <c r="CE61" s="140"/>
      <c r="CF61" s="140" t="str">
        <f>"      " &amp; "동적 노드 구성 코드 최적화" &amp; "(박세형)" &amp; " " &amp; IF(P61="","",TEXT(P61,"M/D-")) &amp; IF(Q61="","",TEXT(Q61,"M/D")) &amp; " "</f>
        <v xml:space="preserve">      동적 노드 구성 코드 최적화(박세형) 12/1-12/31 </v>
      </c>
      <c r="CG61" s="140"/>
    </row>
    <row r="62" spans="1:85" ht="12" customHeight="1">
      <c r="A62" s="129"/>
      <c r="B62" s="129" t="s">
        <v>1353</v>
      </c>
      <c r="C62" s="129">
        <v>1</v>
      </c>
      <c r="D62" s="208" t="s">
        <v>1074</v>
      </c>
      <c r="E62" s="209" t="s">
        <v>1400</v>
      </c>
      <c r="F62" s="209"/>
      <c r="G62" s="209"/>
      <c r="H62" s="209"/>
      <c r="I62" s="209"/>
      <c r="J62" s="209"/>
      <c r="K62" s="209"/>
      <c r="L62" s="209"/>
      <c r="M62" s="209"/>
      <c r="N62" s="209"/>
      <c r="O62" s="209"/>
      <c r="P62" s="219">
        <v>44287</v>
      </c>
      <c r="Q62" s="219">
        <v>44561</v>
      </c>
      <c r="R62" s="218"/>
      <c r="S62" s="220">
        <v>86</v>
      </c>
      <c r="T62" s="220">
        <v>0</v>
      </c>
      <c r="U62" s="220">
        <v>192</v>
      </c>
      <c r="V62" s="220">
        <v>0</v>
      </c>
      <c r="W62" s="219"/>
      <c r="X62" s="219"/>
      <c r="Y62" s="221">
        <v>0</v>
      </c>
      <c r="Z62" s="222">
        <v>0</v>
      </c>
      <c r="AA62" s="220"/>
      <c r="AB62" s="218" t="s">
        <v>1403</v>
      </c>
      <c r="AC62" s="223"/>
      <c r="AD62" s="224">
        <v>0</v>
      </c>
      <c r="AE62" s="193">
        <v>0</v>
      </c>
      <c r="AF62" s="139"/>
      <c r="AG62" s="140"/>
      <c r="AH62" s="140"/>
      <c r="AI62" s="140"/>
      <c r="AJ62" s="140"/>
      <c r="AK62" s="140"/>
      <c r="AL62" s="140"/>
      <c r="AM62" s="140"/>
      <c r="AN62" s="140"/>
      <c r="AO62" s="140"/>
      <c r="AP62" s="140"/>
      <c r="AQ62" s="140"/>
      <c r="AR62" s="140"/>
      <c r="AS62" s="140" t="str">
        <f>"    " &amp; TEXT(AE62,"#0.00%") &amp; " "</f>
        <v xml:space="preserve">    0.00% </v>
      </c>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t="str">
        <f>"      " &amp; "KOREN적용" &amp; "(신용윤,박세형)" &amp; " " &amp; IF(P62="","",TEXT(P62,"M/D-")) &amp; IF(Q62="","",TEXT(Q62,"M/D")) &amp; " "</f>
        <v xml:space="preserve">      KOREN적용(신용윤,박세형) 4/1-12/31 </v>
      </c>
      <c r="CG62" s="140"/>
    </row>
    <row r="63" spans="1:85" ht="12" customHeight="1" outlineLevel="1">
      <c r="A63" s="129"/>
      <c r="B63" s="129" t="s">
        <v>1353</v>
      </c>
      <c r="C63" s="129">
        <v>2</v>
      </c>
      <c r="D63" s="208" t="s">
        <v>1508</v>
      </c>
      <c r="E63" s="209"/>
      <c r="F63" s="209" t="s">
        <v>1501</v>
      </c>
      <c r="G63" s="209"/>
      <c r="H63" s="209"/>
      <c r="I63" s="209"/>
      <c r="J63" s="209"/>
      <c r="K63" s="209"/>
      <c r="L63" s="209"/>
      <c r="M63" s="209"/>
      <c r="N63" s="209"/>
      <c r="O63" s="209"/>
      <c r="P63" s="219">
        <v>44287</v>
      </c>
      <c r="Q63" s="219">
        <v>44347</v>
      </c>
      <c r="R63" s="218"/>
      <c r="S63" s="220">
        <v>41</v>
      </c>
      <c r="T63" s="220">
        <v>0</v>
      </c>
      <c r="U63" s="220">
        <v>41</v>
      </c>
      <c r="V63" s="220">
        <v>0</v>
      </c>
      <c r="W63" s="219"/>
      <c r="X63" s="219"/>
      <c r="Y63" s="221">
        <v>0</v>
      </c>
      <c r="Z63" s="222">
        <v>0</v>
      </c>
      <c r="AA63" s="220"/>
      <c r="AB63" s="218" t="s">
        <v>1403</v>
      </c>
      <c r="AC63" s="223"/>
      <c r="AD63" s="224">
        <v>0</v>
      </c>
      <c r="AE63" s="193">
        <v>0</v>
      </c>
      <c r="AF63" s="139"/>
      <c r="AG63" s="140"/>
      <c r="AH63" s="140"/>
      <c r="AI63" s="140"/>
      <c r="AJ63" s="140"/>
      <c r="AK63" s="140"/>
      <c r="AL63" s="140"/>
      <c r="AM63" s="140"/>
      <c r="AN63" s="140"/>
      <c r="AO63" s="140"/>
      <c r="AP63" s="140"/>
      <c r="AQ63" s="140"/>
      <c r="AR63" s="140"/>
      <c r="AS63" s="140" t="str">
        <f>"    " &amp; TEXT(AE63,"#0.00%") &amp; " "</f>
        <v xml:space="preserve">    0.00% </v>
      </c>
      <c r="AT63" s="140"/>
      <c r="AU63" s="140"/>
      <c r="AV63" s="140"/>
      <c r="AW63" s="140"/>
      <c r="AX63" s="140"/>
      <c r="AY63" s="140"/>
      <c r="AZ63" s="140"/>
      <c r="BA63" s="140"/>
      <c r="BB63" s="140" t="str">
        <f>"  " &amp; "DIFS 2020" &amp; "(신용윤,박세형)" &amp; " " &amp; IF(P63="","",TEXT(P63,"M/D-")) &amp; IF(Q63="","",TEXT(Q63,"M/D")) &amp; " "</f>
        <v xml:space="preserve">  DIFS 2020(신용윤,박세형) 4/1-5/31 </v>
      </c>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c r="CG63" s="140"/>
    </row>
    <row r="64" spans="1:85" ht="12" customHeight="1" outlineLevel="2">
      <c r="A64" s="129"/>
      <c r="B64" s="129" t="s">
        <v>1353</v>
      </c>
      <c r="C64" s="129">
        <v>3</v>
      </c>
      <c r="D64" s="208" t="s">
        <v>1509</v>
      </c>
      <c r="E64" s="209"/>
      <c r="F64" s="209"/>
      <c r="G64" s="209" t="s">
        <v>1502</v>
      </c>
      <c r="H64" s="209"/>
      <c r="I64" s="209"/>
      <c r="J64" s="209"/>
      <c r="K64" s="209"/>
      <c r="L64" s="209"/>
      <c r="M64" s="209"/>
      <c r="N64" s="209"/>
      <c r="O64" s="209"/>
      <c r="P64" s="219">
        <v>44287</v>
      </c>
      <c r="Q64" s="219">
        <v>44316</v>
      </c>
      <c r="R64" s="218"/>
      <c r="S64" s="220">
        <v>22</v>
      </c>
      <c r="T64" s="220">
        <v>0</v>
      </c>
      <c r="U64" s="220">
        <v>22</v>
      </c>
      <c r="V64" s="220">
        <v>0</v>
      </c>
      <c r="W64" s="219"/>
      <c r="X64" s="219"/>
      <c r="Y64" s="221">
        <v>0</v>
      </c>
      <c r="Z64" s="222">
        <v>0</v>
      </c>
      <c r="AA64" s="220"/>
      <c r="AB64" s="218" t="s">
        <v>1424</v>
      </c>
      <c r="AC64" s="223"/>
      <c r="AD64" s="224">
        <v>0</v>
      </c>
      <c r="AE64" s="193">
        <v>0</v>
      </c>
      <c r="AF64" s="139"/>
      <c r="AG64" s="140"/>
      <c r="AH64" s="140"/>
      <c r="AI64" s="140"/>
      <c r="AJ64" s="140"/>
      <c r="AK64" s="140"/>
      <c r="AL64" s="140"/>
      <c r="AM64" s="140"/>
      <c r="AN64" s="140"/>
      <c r="AO64" s="140"/>
      <c r="AP64" s="140"/>
      <c r="AQ64" s="140"/>
      <c r="AR64" s="140"/>
      <c r="AS64" s="140" t="str">
        <f>"    " &amp; TEXT(AE64,"#0.00%") &amp; " "</f>
        <v xml:space="preserve">    0.00% </v>
      </c>
      <c r="AT64" s="140"/>
      <c r="AU64" s="140"/>
      <c r="AV64" s="140"/>
      <c r="AW64" s="140" t="str">
        <f>"      " &amp; "노드 구성" &amp; "(신용윤)" &amp; " " &amp; IF(P64="","",TEXT(P64,"M/D-")) &amp; IF(Q64="","",TEXT(Q64,"M/D")) &amp; " "</f>
        <v xml:space="preserve">      노드 구성(신용윤) 4/1-4/30 </v>
      </c>
      <c r="AX64" s="140"/>
      <c r="AY64" s="140"/>
      <c r="AZ64" s="140"/>
      <c r="BA64" s="140"/>
      <c r="BB64" s="140"/>
      <c r="BC64" s="140"/>
      <c r="BD64" s="140"/>
      <c r="BE64" s="140"/>
      <c r="BF64" s="140"/>
      <c r="BG64" s="140"/>
      <c r="BH64" s="140"/>
      <c r="BI64" s="140"/>
      <c r="BJ64" s="140"/>
      <c r="BK64" s="140"/>
      <c r="BL64" s="140"/>
      <c r="BM64" s="140"/>
      <c r="BN64" s="140"/>
      <c r="BO64" s="140"/>
      <c r="BP64" s="140"/>
      <c r="BQ64" s="140"/>
      <c r="BR64" s="140"/>
      <c r="BS64" s="140"/>
      <c r="BT64" s="140"/>
      <c r="BU64" s="140"/>
      <c r="BV64" s="140"/>
      <c r="BW64" s="140"/>
      <c r="BX64" s="140"/>
      <c r="BY64" s="140"/>
      <c r="BZ64" s="140"/>
      <c r="CA64" s="140"/>
      <c r="CB64" s="140"/>
      <c r="CC64" s="140"/>
      <c r="CD64" s="140"/>
      <c r="CE64" s="140"/>
      <c r="CF64" s="140"/>
      <c r="CG64" s="140"/>
    </row>
    <row r="65" spans="1:85" ht="12" customHeight="1" outlineLevel="3">
      <c r="A65" s="129"/>
      <c r="B65" s="129"/>
      <c r="C65" s="129">
        <v>4</v>
      </c>
      <c r="D65" s="233" t="s">
        <v>1510</v>
      </c>
      <c r="E65" s="225"/>
      <c r="F65" s="225"/>
      <c r="G65" s="225"/>
      <c r="H65" s="225" t="s">
        <v>1500</v>
      </c>
      <c r="I65" s="225"/>
      <c r="J65" s="225"/>
      <c r="K65" s="225"/>
      <c r="L65" s="225"/>
      <c r="M65" s="225"/>
      <c r="N65" s="225"/>
      <c r="O65" s="225"/>
      <c r="P65" s="226">
        <v>44287</v>
      </c>
      <c r="Q65" s="226">
        <v>44316</v>
      </c>
      <c r="R65" s="227"/>
      <c r="S65" s="228">
        <v>22</v>
      </c>
      <c r="T65" s="228">
        <v>0</v>
      </c>
      <c r="U65" s="228">
        <v>22</v>
      </c>
      <c r="V65" s="228">
        <v>0</v>
      </c>
      <c r="W65" s="226"/>
      <c r="X65" s="226"/>
      <c r="Y65" s="229"/>
      <c r="Z65" s="230">
        <v>0</v>
      </c>
      <c r="AA65" s="228"/>
      <c r="AB65" s="227" t="s">
        <v>1424</v>
      </c>
      <c r="AC65" s="231"/>
      <c r="AD65" s="232">
        <v>0</v>
      </c>
      <c r="AE65" s="165">
        <v>0</v>
      </c>
      <c r="AF65" s="139"/>
      <c r="AG65" s="140"/>
      <c r="AH65" s="140"/>
      <c r="AI65" s="140"/>
      <c r="AJ65" s="140"/>
      <c r="AK65" s="140"/>
      <c r="AL65" s="140"/>
      <c r="AM65" s="140"/>
      <c r="AN65" s="140"/>
      <c r="AO65" s="140"/>
      <c r="AP65" s="140"/>
      <c r="AQ65" s="140"/>
      <c r="AR65" s="140"/>
      <c r="AS65" s="140" t="str">
        <f>"    " &amp; TEXT(AE65,"#0.00%") &amp; " "</f>
        <v xml:space="preserve">    0.00% </v>
      </c>
      <c r="AT65" s="140"/>
      <c r="AU65" s="140"/>
      <c r="AV65" s="140"/>
      <c r="AW65" s="140" t="str">
        <f>"      " &amp; "DIFS 2020 set 구성" &amp; "(신용윤)" &amp; " " &amp; IF(P65="","",TEXT(P65,"M/D-")) &amp; IF(Q65="","",TEXT(Q65,"M/D")) &amp; " "</f>
        <v xml:space="preserve">      DIFS 2020 set 구성(신용윤) 4/1-4/30 </v>
      </c>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c r="BY65" s="140"/>
      <c r="BZ65" s="140"/>
      <c r="CA65" s="140"/>
      <c r="CB65" s="140"/>
      <c r="CC65" s="140"/>
      <c r="CD65" s="140"/>
      <c r="CE65" s="140"/>
      <c r="CF65" s="140"/>
      <c r="CG65" s="140"/>
    </row>
    <row r="66" spans="1:85" ht="12" customHeight="1" outlineLevel="2">
      <c r="A66" s="129"/>
      <c r="B66" s="129" t="s">
        <v>1353</v>
      </c>
      <c r="C66" s="129">
        <v>3</v>
      </c>
      <c r="D66" s="208" t="s">
        <v>1511</v>
      </c>
      <c r="E66" s="209"/>
      <c r="F66" s="209"/>
      <c r="G66" s="209" t="s">
        <v>1503</v>
      </c>
      <c r="H66" s="209"/>
      <c r="I66" s="209"/>
      <c r="J66" s="209"/>
      <c r="K66" s="209"/>
      <c r="L66" s="209"/>
      <c r="M66" s="209"/>
      <c r="N66" s="209"/>
      <c r="O66" s="209"/>
      <c r="P66" s="219">
        <v>44317</v>
      </c>
      <c r="Q66" s="219">
        <v>44347</v>
      </c>
      <c r="R66" s="218"/>
      <c r="S66" s="220">
        <v>19</v>
      </c>
      <c r="T66" s="220">
        <v>0</v>
      </c>
      <c r="U66" s="220">
        <v>19</v>
      </c>
      <c r="V66" s="220">
        <v>0</v>
      </c>
      <c r="W66" s="219"/>
      <c r="X66" s="219"/>
      <c r="Y66" s="221">
        <v>0</v>
      </c>
      <c r="Z66" s="222">
        <v>0</v>
      </c>
      <c r="AA66" s="220"/>
      <c r="AB66" s="218" t="s">
        <v>1424</v>
      </c>
      <c r="AC66" s="223"/>
      <c r="AD66" s="224">
        <v>0</v>
      </c>
      <c r="AE66" s="193">
        <v>0</v>
      </c>
      <c r="AF66" s="139"/>
      <c r="AG66" s="140"/>
      <c r="AH66" s="140"/>
      <c r="AI66" s="140"/>
      <c r="AJ66" s="140"/>
      <c r="AK66" s="140"/>
      <c r="AL66" s="140"/>
      <c r="AM66" s="140"/>
      <c r="AN66" s="140"/>
      <c r="AO66" s="140"/>
      <c r="AP66" s="140"/>
      <c r="AQ66" s="140"/>
      <c r="AR66" s="140"/>
      <c r="AS66" s="140"/>
      <c r="AT66" s="140"/>
      <c r="AU66" s="140"/>
      <c r="AV66" s="140"/>
      <c r="AW66" s="140" t="str">
        <f>"      " &amp; TEXT(AE66,"#0.00%") &amp; " "</f>
        <v xml:space="preserve">      0.00% </v>
      </c>
      <c r="AX66" s="140"/>
      <c r="AY66" s="140"/>
      <c r="AZ66" s="140"/>
      <c r="BA66" s="140"/>
      <c r="BB66" s="140" t="str">
        <f>"  " &amp; "적용" &amp; "(신용윤)" &amp; " " &amp; IF(P66="","",TEXT(P66,"M/D-")) &amp; IF(Q66="","",TEXT(Q66,"M/D")) &amp; " "</f>
        <v xml:space="preserve">  적용(신용윤) 5/1-5/31 </v>
      </c>
      <c r="BC66" s="140"/>
      <c r="BD66" s="140"/>
      <c r="BE66" s="140"/>
      <c r="BF66" s="140"/>
      <c r="BG66" s="140"/>
      <c r="BH66" s="140"/>
      <c r="BI66" s="140"/>
      <c r="BJ66" s="140"/>
      <c r="BK66" s="140"/>
      <c r="BL66" s="140"/>
      <c r="BM66" s="140"/>
      <c r="BN66" s="140"/>
      <c r="BO66" s="140"/>
      <c r="BP66" s="140"/>
      <c r="BQ66" s="140"/>
      <c r="BR66" s="140"/>
      <c r="BS66" s="140"/>
      <c r="BT66" s="140"/>
      <c r="BU66" s="140"/>
      <c r="BV66" s="140"/>
      <c r="BW66" s="140"/>
      <c r="BX66" s="140"/>
      <c r="BY66" s="140"/>
      <c r="BZ66" s="140"/>
      <c r="CA66" s="140"/>
      <c r="CB66" s="140"/>
      <c r="CC66" s="140"/>
      <c r="CD66" s="140"/>
      <c r="CE66" s="140"/>
      <c r="CF66" s="140"/>
      <c r="CG66" s="140"/>
    </row>
    <row r="67" spans="1:85" ht="12" customHeight="1" outlineLevel="3">
      <c r="A67" s="129"/>
      <c r="B67" s="129"/>
      <c r="C67" s="129">
        <v>4</v>
      </c>
      <c r="D67" s="233" t="s">
        <v>1512</v>
      </c>
      <c r="E67" s="225"/>
      <c r="F67" s="225"/>
      <c r="G67" s="225"/>
      <c r="H67" s="225" t="s">
        <v>1504</v>
      </c>
      <c r="I67" s="225"/>
      <c r="J67" s="225"/>
      <c r="K67" s="225"/>
      <c r="L67" s="225"/>
      <c r="M67" s="225"/>
      <c r="N67" s="225"/>
      <c r="O67" s="225"/>
      <c r="P67" s="226">
        <v>44317</v>
      </c>
      <c r="Q67" s="226">
        <v>44347</v>
      </c>
      <c r="R67" s="227"/>
      <c r="S67" s="228">
        <v>19</v>
      </c>
      <c r="T67" s="228">
        <v>0</v>
      </c>
      <c r="U67" s="228">
        <v>19</v>
      </c>
      <c r="V67" s="228">
        <v>0</v>
      </c>
      <c r="W67" s="226"/>
      <c r="X67" s="226"/>
      <c r="Y67" s="229"/>
      <c r="Z67" s="230">
        <v>0</v>
      </c>
      <c r="AA67" s="228"/>
      <c r="AB67" s="227" t="s">
        <v>1424</v>
      </c>
      <c r="AC67" s="231"/>
      <c r="AD67" s="232">
        <v>0</v>
      </c>
      <c r="AE67" s="165">
        <v>0</v>
      </c>
      <c r="AF67" s="139"/>
      <c r="AG67" s="140"/>
      <c r="AH67" s="140"/>
      <c r="AI67" s="140"/>
      <c r="AJ67" s="140"/>
      <c r="AK67" s="140"/>
      <c r="AL67" s="140"/>
      <c r="AM67" s="140"/>
      <c r="AN67" s="140"/>
      <c r="AO67" s="140"/>
      <c r="AP67" s="140"/>
      <c r="AQ67" s="140"/>
      <c r="AR67" s="140"/>
      <c r="AS67" s="140"/>
      <c r="AT67" s="140"/>
      <c r="AU67" s="140"/>
      <c r="AV67" s="140"/>
      <c r="AW67" s="140" t="str">
        <f>"      " &amp; TEXT(AE67,"#0.00%") &amp; " "</f>
        <v xml:space="preserve">      0.00% </v>
      </c>
      <c r="AX67" s="140"/>
      <c r="AY67" s="140"/>
      <c r="AZ67" s="140"/>
      <c r="BA67" s="140"/>
      <c r="BB67" s="140" t="str">
        <f>"  " &amp; "DIFS 2020 적용" &amp; "(신용윤)" &amp; " " &amp; IF(P67="","",TEXT(P67,"M/D-")) &amp; IF(Q67="","",TEXT(Q67,"M/D")) &amp; " "</f>
        <v xml:space="preserve">  DIFS 2020 적용(신용윤) 5/1-5/31 </v>
      </c>
      <c r="BC67" s="140"/>
      <c r="BD67" s="140"/>
      <c r="BE67" s="140"/>
      <c r="BF67" s="140"/>
      <c r="BG67" s="140"/>
      <c r="BH67" s="140"/>
      <c r="BI67" s="140"/>
      <c r="BJ67" s="140"/>
      <c r="BK67" s="140"/>
      <c r="BL67" s="140"/>
      <c r="BM67" s="140"/>
      <c r="BN67" s="140"/>
      <c r="BO67" s="140"/>
      <c r="BP67" s="140"/>
      <c r="BQ67" s="140"/>
      <c r="BR67" s="140"/>
      <c r="BS67" s="140"/>
      <c r="BT67" s="140"/>
      <c r="BU67" s="140"/>
      <c r="BV67" s="140"/>
      <c r="BW67" s="140"/>
      <c r="BX67" s="140"/>
      <c r="BY67" s="140"/>
      <c r="BZ67" s="140"/>
      <c r="CA67" s="140"/>
      <c r="CB67" s="140"/>
      <c r="CC67" s="140"/>
      <c r="CD67" s="140"/>
      <c r="CE67" s="140"/>
      <c r="CF67" s="140"/>
      <c r="CG67" s="140"/>
    </row>
    <row r="68" spans="1:85" ht="12" customHeight="1" outlineLevel="1">
      <c r="A68" s="129"/>
      <c r="B68" s="129" t="s">
        <v>1353</v>
      </c>
      <c r="C68" s="129">
        <v>2</v>
      </c>
      <c r="D68" s="208" t="s">
        <v>1513</v>
      </c>
      <c r="E68" s="209"/>
      <c r="F68" s="209" t="s">
        <v>1505</v>
      </c>
      <c r="G68" s="209"/>
      <c r="H68" s="209"/>
      <c r="I68" s="209"/>
      <c r="J68" s="209"/>
      <c r="K68" s="209"/>
      <c r="L68" s="209"/>
      <c r="M68" s="209"/>
      <c r="N68" s="209"/>
      <c r="O68" s="209"/>
      <c r="P68" s="219">
        <v>44501</v>
      </c>
      <c r="Q68" s="219">
        <v>44561</v>
      </c>
      <c r="R68" s="218"/>
      <c r="S68" s="220">
        <v>45</v>
      </c>
      <c r="T68" s="220">
        <v>0</v>
      </c>
      <c r="U68" s="220">
        <v>45</v>
      </c>
      <c r="V68" s="220">
        <v>0</v>
      </c>
      <c r="W68" s="219"/>
      <c r="X68" s="219"/>
      <c r="Y68" s="221">
        <v>0</v>
      </c>
      <c r="Z68" s="222">
        <v>0</v>
      </c>
      <c r="AA68" s="220"/>
      <c r="AB68" s="218" t="s">
        <v>1403</v>
      </c>
      <c r="AC68" s="223"/>
      <c r="AD68" s="224">
        <v>0</v>
      </c>
      <c r="AE68" s="193">
        <v>0</v>
      </c>
      <c r="AF68" s="139"/>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c r="BG68" s="140"/>
      <c r="BH68" s="140"/>
      <c r="BI68" s="140"/>
      <c r="BJ68" s="140"/>
      <c r="BK68" s="140"/>
      <c r="BL68" s="140"/>
      <c r="BM68" s="140"/>
      <c r="BN68" s="140"/>
      <c r="BO68" s="140"/>
      <c r="BP68" s="140"/>
      <c r="BQ68" s="140"/>
      <c r="BR68" s="140"/>
      <c r="BS68" s="140"/>
      <c r="BT68" s="140"/>
      <c r="BU68" s="140"/>
      <c r="BV68" s="140"/>
      <c r="BW68" s="140"/>
      <c r="BX68" s="140" t="str">
        <f>" " &amp; TEXT(AE68,"#0.00%") &amp; " "</f>
        <v xml:space="preserve"> 0.00% </v>
      </c>
      <c r="BY68" s="140"/>
      <c r="BZ68" s="140"/>
      <c r="CA68" s="140"/>
      <c r="CB68" s="140"/>
      <c r="CC68" s="140"/>
      <c r="CD68" s="140"/>
      <c r="CE68" s="140"/>
      <c r="CF68" s="140" t="str">
        <f>"      " &amp; "DIFS 2021" &amp; "(신용윤,박세형)" &amp; " " &amp; IF(P68="","",TEXT(P68,"M/D-")) &amp; IF(Q68="","",TEXT(Q68,"M/D")) &amp; " "</f>
        <v xml:space="preserve">      DIFS 2021(신용윤,박세형) 11/1-12/31 </v>
      </c>
      <c r="CG68" s="140"/>
    </row>
    <row r="69" spans="1:85" ht="12" customHeight="1" outlineLevel="2">
      <c r="A69" s="129"/>
      <c r="B69" s="129" t="s">
        <v>1353</v>
      </c>
      <c r="C69" s="129">
        <v>3</v>
      </c>
      <c r="D69" s="208" t="s">
        <v>1514</v>
      </c>
      <c r="E69" s="209"/>
      <c r="F69" s="209"/>
      <c r="G69" s="209" t="s">
        <v>1502</v>
      </c>
      <c r="H69" s="209"/>
      <c r="I69" s="209"/>
      <c r="J69" s="209"/>
      <c r="K69" s="209"/>
      <c r="L69" s="209"/>
      <c r="M69" s="209"/>
      <c r="N69" s="209"/>
      <c r="O69" s="209"/>
      <c r="P69" s="219">
        <v>44501</v>
      </c>
      <c r="Q69" s="219">
        <v>44530</v>
      </c>
      <c r="R69" s="218"/>
      <c r="S69" s="220">
        <v>22</v>
      </c>
      <c r="T69" s="220">
        <v>0</v>
      </c>
      <c r="U69" s="220">
        <v>22</v>
      </c>
      <c r="V69" s="220">
        <v>0</v>
      </c>
      <c r="W69" s="219"/>
      <c r="X69" s="219"/>
      <c r="Y69" s="221">
        <v>0</v>
      </c>
      <c r="Z69" s="222">
        <v>0</v>
      </c>
      <c r="AA69" s="220"/>
      <c r="AB69" s="218" t="s">
        <v>1424</v>
      </c>
      <c r="AC69" s="223"/>
      <c r="AD69" s="224">
        <v>0</v>
      </c>
      <c r="AE69" s="193">
        <v>0</v>
      </c>
      <c r="AF69" s="139"/>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140"/>
      <c r="BK69" s="140"/>
      <c r="BL69" s="140"/>
      <c r="BM69" s="140"/>
      <c r="BN69" s="140"/>
      <c r="BO69" s="140"/>
      <c r="BP69" s="140"/>
      <c r="BQ69" s="140"/>
      <c r="BR69" s="140"/>
      <c r="BS69" s="140"/>
      <c r="BT69" s="140"/>
      <c r="BU69" s="140"/>
      <c r="BV69" s="140"/>
      <c r="BW69" s="140"/>
      <c r="BX69" s="140" t="str">
        <f>" " &amp; TEXT(AE69,"#0.00%") &amp; " "</f>
        <v xml:space="preserve"> 0.00% </v>
      </c>
      <c r="BY69" s="140"/>
      <c r="BZ69" s="140"/>
      <c r="CA69" s="140"/>
      <c r="CB69" s="140" t="str">
        <f>"   " &amp; "노드 구성" &amp; "(신용윤)" &amp; " " &amp; IF(P69="","",TEXT(P69,"M/D-")) &amp; IF(Q69="","",TEXT(Q69,"M/D")) &amp; " "</f>
        <v xml:space="preserve">   노드 구성(신용윤) 11/1-11/30 </v>
      </c>
      <c r="CC69" s="140"/>
      <c r="CD69" s="140"/>
      <c r="CE69" s="140"/>
      <c r="CF69" s="140"/>
      <c r="CG69" s="140"/>
    </row>
    <row r="70" spans="1:85" ht="12" customHeight="1" outlineLevel="3">
      <c r="A70" s="129"/>
      <c r="B70" s="129"/>
      <c r="C70" s="129">
        <v>4</v>
      </c>
      <c r="D70" s="233" t="s">
        <v>1515</v>
      </c>
      <c r="E70" s="225"/>
      <c r="F70" s="225"/>
      <c r="G70" s="225"/>
      <c r="H70" s="225" t="s">
        <v>1507</v>
      </c>
      <c r="I70" s="225"/>
      <c r="J70" s="225"/>
      <c r="K70" s="225"/>
      <c r="L70" s="225"/>
      <c r="M70" s="225"/>
      <c r="N70" s="225"/>
      <c r="O70" s="225"/>
      <c r="P70" s="226">
        <v>44501</v>
      </c>
      <c r="Q70" s="226">
        <v>44530</v>
      </c>
      <c r="R70" s="227"/>
      <c r="S70" s="228">
        <v>22</v>
      </c>
      <c r="T70" s="228">
        <v>0</v>
      </c>
      <c r="U70" s="228">
        <v>22</v>
      </c>
      <c r="V70" s="228">
        <v>0</v>
      </c>
      <c r="W70" s="226"/>
      <c r="X70" s="226"/>
      <c r="Y70" s="229"/>
      <c r="Z70" s="230">
        <v>0</v>
      </c>
      <c r="AA70" s="228"/>
      <c r="AB70" s="227" t="s">
        <v>1424</v>
      </c>
      <c r="AC70" s="231"/>
      <c r="AD70" s="232">
        <v>0</v>
      </c>
      <c r="AE70" s="165">
        <v>0</v>
      </c>
      <c r="AF70" s="139"/>
      <c r="AG70" s="140"/>
      <c r="AH70" s="140"/>
      <c r="AI70" s="140"/>
      <c r="AJ70" s="140"/>
      <c r="AK70" s="140"/>
      <c r="AL70" s="140"/>
      <c r="AM70" s="140"/>
      <c r="AN70" s="140"/>
      <c r="AO70" s="140"/>
      <c r="AP70" s="140"/>
      <c r="AQ70" s="140"/>
      <c r="AR70" s="140"/>
      <c r="AS70" s="140"/>
      <c r="AT70" s="140"/>
      <c r="AU70" s="140"/>
      <c r="AV70" s="140"/>
      <c r="AW70" s="140"/>
      <c r="AX70" s="140"/>
      <c r="AY70" s="140"/>
      <c r="AZ70" s="140"/>
      <c r="BA70" s="140"/>
      <c r="BB70" s="140"/>
      <c r="BC70" s="140"/>
      <c r="BD70" s="140"/>
      <c r="BE70" s="140"/>
      <c r="BF70" s="140"/>
      <c r="BG70" s="140"/>
      <c r="BH70" s="140"/>
      <c r="BI70" s="140"/>
      <c r="BJ70" s="140"/>
      <c r="BK70" s="140"/>
      <c r="BL70" s="140"/>
      <c r="BM70" s="140"/>
      <c r="BN70" s="140"/>
      <c r="BO70" s="140"/>
      <c r="BP70" s="140"/>
      <c r="BQ70" s="140"/>
      <c r="BR70" s="140"/>
      <c r="BS70" s="140"/>
      <c r="BT70" s="140"/>
      <c r="BU70" s="140"/>
      <c r="BV70" s="140"/>
      <c r="BW70" s="140"/>
      <c r="BX70" s="140" t="str">
        <f>" " &amp; TEXT(AE70,"#0.00%") &amp; " "</f>
        <v xml:space="preserve"> 0.00% </v>
      </c>
      <c r="BY70" s="140"/>
      <c r="BZ70" s="140"/>
      <c r="CA70" s="140"/>
      <c r="CB70" s="140" t="str">
        <f>"   " &amp; "DIFS 2021 set 구성" &amp; "(신용윤)" &amp; " " &amp; IF(P70="","",TEXT(P70,"M/D-")) &amp; IF(Q70="","",TEXT(Q70,"M/D")) &amp; " "</f>
        <v xml:space="preserve">   DIFS 2021 set 구성(신용윤) 11/1-11/30 </v>
      </c>
      <c r="CC70" s="140"/>
      <c r="CD70" s="140"/>
      <c r="CE70" s="140"/>
      <c r="CF70" s="140"/>
      <c r="CG70" s="140"/>
    </row>
    <row r="71" spans="1:85" ht="12" customHeight="1" outlineLevel="2">
      <c r="A71" s="129"/>
      <c r="B71" s="129" t="s">
        <v>1353</v>
      </c>
      <c r="C71" s="129">
        <v>3</v>
      </c>
      <c r="D71" s="208" t="s">
        <v>1516</v>
      </c>
      <c r="E71" s="209"/>
      <c r="F71" s="209"/>
      <c r="G71" s="209" t="s">
        <v>1503</v>
      </c>
      <c r="H71" s="209"/>
      <c r="I71" s="209"/>
      <c r="J71" s="209"/>
      <c r="K71" s="209"/>
      <c r="L71" s="209"/>
      <c r="M71" s="209"/>
      <c r="N71" s="209"/>
      <c r="O71" s="209"/>
      <c r="P71" s="219">
        <v>44531</v>
      </c>
      <c r="Q71" s="219">
        <v>44561</v>
      </c>
      <c r="R71" s="218"/>
      <c r="S71" s="220">
        <v>23</v>
      </c>
      <c r="T71" s="220">
        <v>0</v>
      </c>
      <c r="U71" s="220">
        <v>23</v>
      </c>
      <c r="V71" s="220">
        <v>0</v>
      </c>
      <c r="W71" s="219"/>
      <c r="X71" s="219"/>
      <c r="Y71" s="221">
        <v>0</v>
      </c>
      <c r="Z71" s="222">
        <v>0</v>
      </c>
      <c r="AA71" s="220"/>
      <c r="AB71" s="218" t="s">
        <v>1424</v>
      </c>
      <c r="AC71" s="223"/>
      <c r="AD71" s="224">
        <v>0</v>
      </c>
      <c r="AE71" s="193">
        <v>0</v>
      </c>
      <c r="AF71" s="139"/>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c r="BS71" s="140"/>
      <c r="BT71" s="140"/>
      <c r="BU71" s="140"/>
      <c r="BV71" s="140"/>
      <c r="BW71" s="140"/>
      <c r="BX71" s="140"/>
      <c r="BY71" s="140"/>
      <c r="BZ71" s="140"/>
      <c r="CA71" s="140"/>
      <c r="CB71" s="140" t="str">
        <f>"   " &amp; TEXT(AE71,"#0.00%") &amp; " "</f>
        <v xml:space="preserve">   0.00% </v>
      </c>
      <c r="CC71" s="140"/>
      <c r="CD71" s="140"/>
      <c r="CE71" s="140"/>
      <c r="CF71" s="140" t="str">
        <f>"      " &amp; "적용" &amp; "(신용윤)" &amp; " " &amp; IF(P71="","",TEXT(P71,"M/D-")) &amp; IF(Q71="","",TEXT(Q71,"M/D")) &amp; " "</f>
        <v xml:space="preserve">      적용(신용윤) 12/1-12/31 </v>
      </c>
      <c r="CG71" s="140"/>
    </row>
    <row r="72" spans="1:85" ht="12" customHeight="1" outlineLevel="3">
      <c r="A72" s="129"/>
      <c r="B72" s="129"/>
      <c r="C72" s="129">
        <v>4</v>
      </c>
      <c r="D72" s="233" t="s">
        <v>1517</v>
      </c>
      <c r="E72" s="225"/>
      <c r="F72" s="225"/>
      <c r="G72" s="225"/>
      <c r="H72" s="225" t="s">
        <v>1506</v>
      </c>
      <c r="I72" s="225"/>
      <c r="J72" s="225"/>
      <c r="K72" s="225"/>
      <c r="L72" s="225"/>
      <c r="M72" s="225"/>
      <c r="N72" s="225"/>
      <c r="O72" s="225"/>
      <c r="P72" s="226">
        <v>44531</v>
      </c>
      <c r="Q72" s="226">
        <v>44561</v>
      </c>
      <c r="R72" s="227"/>
      <c r="S72" s="228">
        <v>23</v>
      </c>
      <c r="T72" s="228">
        <v>0</v>
      </c>
      <c r="U72" s="228">
        <v>23</v>
      </c>
      <c r="V72" s="228">
        <v>0</v>
      </c>
      <c r="W72" s="226"/>
      <c r="X72" s="226"/>
      <c r="Y72" s="229"/>
      <c r="Z72" s="230">
        <v>0</v>
      </c>
      <c r="AA72" s="228"/>
      <c r="AB72" s="227" t="s">
        <v>1424</v>
      </c>
      <c r="AC72" s="231"/>
      <c r="AD72" s="232">
        <v>0</v>
      </c>
      <c r="AE72" s="165">
        <v>0</v>
      </c>
      <c r="AF72" s="139"/>
      <c r="AG72" s="140"/>
      <c r="AH72" s="140"/>
      <c r="AI72" s="140"/>
      <c r="AJ72" s="140"/>
      <c r="AK72" s="140"/>
      <c r="AL72" s="140"/>
      <c r="AM72" s="140"/>
      <c r="AN72" s="140"/>
      <c r="AO72" s="140"/>
      <c r="AP72" s="140"/>
      <c r="AQ72" s="140"/>
      <c r="AR72" s="140"/>
      <c r="AS72" s="140"/>
      <c r="AT72" s="140"/>
      <c r="AU72" s="140"/>
      <c r="AV72" s="140"/>
      <c r="AW72" s="140"/>
      <c r="AX72" s="140"/>
      <c r="AY72" s="140"/>
      <c r="AZ72" s="140"/>
      <c r="BA72" s="140"/>
      <c r="BB72" s="140"/>
      <c r="BC72" s="140"/>
      <c r="BD72" s="140"/>
      <c r="BE72" s="140"/>
      <c r="BF72" s="140"/>
      <c r="BG72" s="140"/>
      <c r="BH72" s="140"/>
      <c r="BI72" s="140"/>
      <c r="BJ72" s="140"/>
      <c r="BK72" s="140"/>
      <c r="BL72" s="140"/>
      <c r="BM72" s="140"/>
      <c r="BN72" s="140"/>
      <c r="BO72" s="140"/>
      <c r="BP72" s="140"/>
      <c r="BQ72" s="140"/>
      <c r="BR72" s="140"/>
      <c r="BS72" s="140"/>
      <c r="BT72" s="140"/>
      <c r="BU72" s="140"/>
      <c r="BV72" s="140"/>
      <c r="BW72" s="140"/>
      <c r="BX72" s="140"/>
      <c r="BY72" s="140"/>
      <c r="BZ72" s="140"/>
      <c r="CA72" s="140"/>
      <c r="CB72" s="140" t="str">
        <f>"   " &amp; TEXT(AE72,"#0.00%") &amp; " "</f>
        <v xml:space="preserve">   0.00% </v>
      </c>
      <c r="CC72" s="140"/>
      <c r="CD72" s="140"/>
      <c r="CE72" s="140"/>
      <c r="CF72" s="140" t="str">
        <f>"      " &amp; "DIFS 2021 적용" &amp; "(신용윤)" &amp; " " &amp; IF(P72="","",TEXT(P72,"M/D-")) &amp; IF(Q72="","",TEXT(Q72,"M/D")) &amp; " "</f>
        <v xml:space="preserve">      DIFS 2021 적용(신용윤) 12/1-12/31 </v>
      </c>
      <c r="CG72" s="140"/>
    </row>
    <row r="73" spans="1:85" ht="12" customHeight="1">
      <c r="A73" s="129"/>
      <c r="B73" s="129" t="s">
        <v>1353</v>
      </c>
      <c r="C73" s="129">
        <v>1</v>
      </c>
      <c r="D73" s="130" t="s">
        <v>1075</v>
      </c>
      <c r="E73" s="131" t="s">
        <v>1425</v>
      </c>
      <c r="F73" s="131"/>
      <c r="G73" s="131"/>
      <c r="H73" s="131"/>
      <c r="I73" s="131"/>
      <c r="J73" s="131"/>
      <c r="K73" s="131"/>
      <c r="L73" s="131"/>
      <c r="M73" s="131"/>
      <c r="N73" s="131"/>
      <c r="O73" s="131"/>
      <c r="P73" s="132">
        <v>44256</v>
      </c>
      <c r="Q73" s="132">
        <v>44439</v>
      </c>
      <c r="R73" s="133"/>
      <c r="S73" s="134">
        <v>110</v>
      </c>
      <c r="T73" s="134">
        <v>0</v>
      </c>
      <c r="U73" s="134">
        <v>129</v>
      </c>
      <c r="V73" s="134">
        <v>0</v>
      </c>
      <c r="W73" s="132"/>
      <c r="X73" s="132"/>
      <c r="Y73" s="135">
        <v>0</v>
      </c>
      <c r="Z73" s="136">
        <v>0</v>
      </c>
      <c r="AA73" s="134"/>
      <c r="AB73" s="133" t="s">
        <v>1403</v>
      </c>
      <c r="AC73" s="137"/>
      <c r="AD73" s="138">
        <v>0</v>
      </c>
      <c r="AE73" s="193">
        <v>0</v>
      </c>
      <c r="AF73" s="139"/>
      <c r="AG73" s="140"/>
      <c r="AH73" s="140"/>
      <c r="AI73" s="140"/>
      <c r="AJ73" s="140"/>
      <c r="AK73" s="140"/>
      <c r="AL73" s="140"/>
      <c r="AM73" s="140"/>
      <c r="AN73" s="140"/>
      <c r="AO73" s="140" t="str">
        <f>" " &amp; TEXT(AE73,"#0.00%") &amp; " "</f>
        <v xml:space="preserve"> 0.00% </v>
      </c>
      <c r="AP73" s="140"/>
      <c r="AQ73" s="140"/>
      <c r="AR73" s="140"/>
      <c r="AS73" s="140"/>
      <c r="AT73" s="140"/>
      <c r="AU73" s="140"/>
      <c r="AV73" s="140"/>
      <c r="AW73" s="140"/>
      <c r="AX73" s="140"/>
      <c r="AY73" s="140"/>
      <c r="AZ73" s="140"/>
      <c r="BA73" s="140"/>
      <c r="BB73" s="140"/>
      <c r="BC73" s="140"/>
      <c r="BD73" s="140"/>
      <c r="BE73" s="140"/>
      <c r="BF73" s="140"/>
      <c r="BG73" s="140"/>
      <c r="BH73" s="140"/>
      <c r="BI73" s="140"/>
      <c r="BJ73" s="140"/>
      <c r="BK73" s="140"/>
      <c r="BL73" s="140"/>
      <c r="BM73" s="140"/>
      <c r="BN73" s="140"/>
      <c r="BO73" s="140" t="str">
        <f>"   " &amp; "IPR" &amp; "(신용윤,박세형)" &amp; " " &amp; IF(P73="","",TEXT(P73,"M/D-")) &amp; IF(Q73="","",TEXT(Q73,"M/D")) &amp; " "</f>
        <v xml:space="preserve">   IPR(신용윤,박세형) 3/1-8/31 </v>
      </c>
      <c r="BP73" s="140"/>
      <c r="BQ73" s="140"/>
      <c r="BR73" s="140"/>
      <c r="BS73" s="140"/>
      <c r="BT73" s="140"/>
      <c r="BU73" s="140"/>
      <c r="BV73" s="140"/>
      <c r="BW73" s="140"/>
      <c r="BX73" s="140"/>
      <c r="BY73" s="140"/>
      <c r="BZ73" s="140"/>
      <c r="CA73" s="140"/>
      <c r="CB73" s="140"/>
      <c r="CC73" s="140"/>
      <c r="CD73" s="140"/>
      <c r="CE73" s="140"/>
      <c r="CF73" s="140"/>
      <c r="CG73" s="140"/>
    </row>
    <row r="74" spans="1:85" ht="12" customHeight="1" outlineLevel="1">
      <c r="A74" s="129"/>
      <c r="B74" s="129" t="s">
        <v>1353</v>
      </c>
      <c r="C74" s="129">
        <v>2</v>
      </c>
      <c r="D74" s="130" t="s">
        <v>1490</v>
      </c>
      <c r="E74" s="131"/>
      <c r="F74" s="131" t="s">
        <v>1485</v>
      </c>
      <c r="G74" s="131"/>
      <c r="H74" s="131"/>
      <c r="I74" s="131"/>
      <c r="J74" s="131"/>
      <c r="K74" s="131"/>
      <c r="L74" s="131"/>
      <c r="M74" s="131"/>
      <c r="N74" s="131"/>
      <c r="O74" s="131"/>
      <c r="P74" s="132">
        <v>44256</v>
      </c>
      <c r="Q74" s="132">
        <v>44439</v>
      </c>
      <c r="R74" s="133"/>
      <c r="S74" s="134">
        <v>66</v>
      </c>
      <c r="T74" s="134">
        <v>0</v>
      </c>
      <c r="U74" s="134">
        <v>129</v>
      </c>
      <c r="V74" s="134">
        <v>0</v>
      </c>
      <c r="W74" s="132"/>
      <c r="X74" s="132"/>
      <c r="Y74" s="135">
        <v>0</v>
      </c>
      <c r="Z74" s="136">
        <v>0</v>
      </c>
      <c r="AA74" s="134"/>
      <c r="AB74" s="133" t="s">
        <v>1403</v>
      </c>
      <c r="AC74" s="137"/>
      <c r="AD74" s="138">
        <v>0</v>
      </c>
      <c r="AE74" s="193">
        <v>0</v>
      </c>
      <c r="AF74" s="139"/>
      <c r="AG74" s="140"/>
      <c r="AH74" s="140"/>
      <c r="AI74" s="140"/>
      <c r="AJ74" s="140"/>
      <c r="AK74" s="140"/>
      <c r="AL74" s="140"/>
      <c r="AM74" s="140"/>
      <c r="AN74" s="140"/>
      <c r="AO74" s="140" t="str">
        <f>" " &amp; TEXT(AE74,"#0.00%") &amp; " "</f>
        <v xml:space="preserve"> 0.00% </v>
      </c>
      <c r="AP74" s="140"/>
      <c r="AQ74" s="140"/>
      <c r="AR74" s="140"/>
      <c r="AS74" s="140"/>
      <c r="AT74" s="140"/>
      <c r="AU74" s="140"/>
      <c r="AV74" s="140"/>
      <c r="AW74" s="140"/>
      <c r="AX74" s="140"/>
      <c r="AY74" s="140"/>
      <c r="AZ74" s="140"/>
      <c r="BA74" s="140"/>
      <c r="BB74" s="140"/>
      <c r="BC74" s="140"/>
      <c r="BD74" s="140"/>
      <c r="BE74" s="140"/>
      <c r="BF74" s="140"/>
      <c r="BG74" s="140"/>
      <c r="BH74" s="140"/>
      <c r="BI74" s="140"/>
      <c r="BJ74" s="140"/>
      <c r="BK74" s="140"/>
      <c r="BL74" s="140"/>
      <c r="BM74" s="140"/>
      <c r="BN74" s="140"/>
      <c r="BO74" s="140" t="str">
        <f>"   " &amp; "논문" &amp; "(신용윤,박세형)" &amp; " " &amp; IF(P74="","",TEXT(P74,"M/D-")) &amp; IF(Q74="","",TEXT(Q74,"M/D")) &amp; " "</f>
        <v xml:space="preserve">   논문(신용윤,박세형) 3/1-8/31 </v>
      </c>
      <c r="BP74" s="140"/>
      <c r="BQ74" s="140"/>
      <c r="BR74" s="140"/>
      <c r="BS74" s="140"/>
      <c r="BT74" s="140"/>
      <c r="BU74" s="140"/>
      <c r="BV74" s="140"/>
      <c r="BW74" s="140"/>
      <c r="BX74" s="140"/>
      <c r="BY74" s="140"/>
      <c r="BZ74" s="140"/>
      <c r="CA74" s="140"/>
      <c r="CB74" s="140"/>
      <c r="CC74" s="140"/>
      <c r="CD74" s="140"/>
      <c r="CE74" s="140"/>
      <c r="CF74" s="140"/>
      <c r="CG74" s="140"/>
    </row>
    <row r="75" spans="1:85" ht="12" customHeight="1" outlineLevel="2">
      <c r="A75" s="129"/>
      <c r="B75" s="129" t="s">
        <v>1353</v>
      </c>
      <c r="C75" s="129">
        <v>3</v>
      </c>
      <c r="D75" s="130" t="s">
        <v>1491</v>
      </c>
      <c r="E75" s="131"/>
      <c r="F75" s="131"/>
      <c r="G75" s="131" t="s">
        <v>1494</v>
      </c>
      <c r="H75" s="131"/>
      <c r="I75" s="131"/>
      <c r="J75" s="131"/>
      <c r="K75" s="131"/>
      <c r="L75" s="131"/>
      <c r="M75" s="131"/>
      <c r="N75" s="131"/>
      <c r="O75" s="131"/>
      <c r="P75" s="132">
        <v>44256</v>
      </c>
      <c r="Q75" s="132">
        <v>44439</v>
      </c>
      <c r="R75" s="133"/>
      <c r="S75" s="134">
        <v>66</v>
      </c>
      <c r="T75" s="134">
        <v>0</v>
      </c>
      <c r="U75" s="134">
        <v>129</v>
      </c>
      <c r="V75" s="134">
        <v>0</v>
      </c>
      <c r="W75" s="132"/>
      <c r="X75" s="132"/>
      <c r="Y75" s="135">
        <v>0</v>
      </c>
      <c r="Z75" s="136">
        <v>0</v>
      </c>
      <c r="AA75" s="134"/>
      <c r="AB75" s="133" t="s">
        <v>1403</v>
      </c>
      <c r="AC75" s="137" t="s">
        <v>1485</v>
      </c>
      <c r="AD75" s="138">
        <v>0</v>
      </c>
      <c r="AE75" s="193">
        <v>0</v>
      </c>
      <c r="AF75" s="139"/>
      <c r="AG75" s="140"/>
      <c r="AH75" s="140"/>
      <c r="AI75" s="140"/>
      <c r="AJ75" s="140"/>
      <c r="AK75" s="140"/>
      <c r="AL75" s="140"/>
      <c r="AM75" s="140"/>
      <c r="AN75" s="140"/>
      <c r="AO75" s="140" t="str">
        <f>" " &amp; TEXT(AE75,"#0.00%") &amp; " "</f>
        <v xml:space="preserve"> 0.00% </v>
      </c>
      <c r="AP75" s="140"/>
      <c r="AQ75" s="140"/>
      <c r="AR75" s="140"/>
      <c r="AS75" s="140"/>
      <c r="AT75" s="140"/>
      <c r="AU75" s="140"/>
      <c r="AV75" s="140"/>
      <c r="AW75" s="140"/>
      <c r="AX75" s="140"/>
      <c r="AY75" s="140"/>
      <c r="AZ75" s="140"/>
      <c r="BA75" s="140"/>
      <c r="BB75" s="140"/>
      <c r="BC75" s="140"/>
      <c r="BD75" s="140"/>
      <c r="BE75" s="140"/>
      <c r="BF75" s="140"/>
      <c r="BG75" s="140"/>
      <c r="BH75" s="140"/>
      <c r="BI75" s="140"/>
      <c r="BJ75" s="140"/>
      <c r="BK75" s="140"/>
      <c r="BL75" s="140"/>
      <c r="BM75" s="140"/>
      <c r="BN75" s="140"/>
      <c r="BO75" s="140" t="str">
        <f>"   " &amp; "국제" &amp; "(신용윤,박세형)" &amp; " " &amp; IF(P75="","",TEXT(P75,"M/D-")) &amp; IF(Q75="","",TEXT(Q75,"M/D")) &amp; " "</f>
        <v xml:space="preserve">   국제(신용윤,박세형) 3/1-8/31 </v>
      </c>
      <c r="BP75" s="140"/>
      <c r="BQ75" s="140"/>
      <c r="BR75" s="140"/>
      <c r="BS75" s="140"/>
      <c r="BT75" s="140"/>
      <c r="BU75" s="140"/>
      <c r="BV75" s="140"/>
      <c r="BW75" s="140"/>
      <c r="BX75" s="140"/>
      <c r="BY75" s="140"/>
      <c r="BZ75" s="140"/>
      <c r="CA75" s="140"/>
      <c r="CB75" s="140"/>
      <c r="CC75" s="140"/>
      <c r="CD75" s="140"/>
      <c r="CE75" s="140"/>
      <c r="CF75" s="140"/>
      <c r="CG75" s="140"/>
    </row>
    <row r="76" spans="1:85" ht="12" customHeight="1" outlineLevel="3">
      <c r="A76" s="129"/>
      <c r="B76" s="129"/>
      <c r="C76" s="129">
        <v>4</v>
      </c>
      <c r="D76" s="130" t="s">
        <v>1495</v>
      </c>
      <c r="E76" s="131"/>
      <c r="F76" s="131"/>
      <c r="G76" s="131"/>
      <c r="H76" s="131" t="s">
        <v>1499</v>
      </c>
      <c r="I76" s="131"/>
      <c r="J76" s="131"/>
      <c r="K76" s="131"/>
      <c r="L76" s="131"/>
      <c r="M76" s="131"/>
      <c r="N76" s="131"/>
      <c r="O76" s="131"/>
      <c r="P76" s="132">
        <v>44256</v>
      </c>
      <c r="Q76" s="132">
        <v>44316</v>
      </c>
      <c r="R76" s="133"/>
      <c r="S76" s="134">
        <v>44</v>
      </c>
      <c r="T76" s="134">
        <v>0</v>
      </c>
      <c r="U76" s="134">
        <v>44</v>
      </c>
      <c r="V76" s="134">
        <v>0</v>
      </c>
      <c r="W76" s="132"/>
      <c r="X76" s="132"/>
      <c r="Y76" s="135"/>
      <c r="Z76" s="136">
        <v>0</v>
      </c>
      <c r="AA76" s="134"/>
      <c r="AB76" s="133" t="s">
        <v>1424</v>
      </c>
      <c r="AC76" s="137"/>
      <c r="AD76" s="138">
        <v>0</v>
      </c>
      <c r="AE76" s="165">
        <v>0</v>
      </c>
      <c r="AF76" s="139"/>
      <c r="AG76" s="140"/>
      <c r="AH76" s="140"/>
      <c r="AI76" s="140"/>
      <c r="AJ76" s="140"/>
      <c r="AK76" s="140"/>
      <c r="AL76" s="140"/>
      <c r="AM76" s="140"/>
      <c r="AN76" s="140"/>
      <c r="AO76" s="140" t="str">
        <f>" " &amp; TEXT(AE76,"#0.00%") &amp; " "</f>
        <v xml:space="preserve"> 0.00% </v>
      </c>
      <c r="AP76" s="140"/>
      <c r="AQ76" s="140"/>
      <c r="AR76" s="140"/>
      <c r="AS76" s="140"/>
      <c r="AT76" s="140"/>
      <c r="AU76" s="140"/>
      <c r="AV76" s="140"/>
      <c r="AW76" s="140" t="str">
        <f>"      " &amp; "ACM-ICN 2021 (full paper)" &amp; "(신용윤)" &amp; " " &amp; IF(P76="","",TEXT(P76,"M/D-")) &amp; IF(Q76="","",TEXT(Q76,"M/D")) &amp; " "</f>
        <v xml:space="preserve">      ACM-ICN 2021 (full paper)(신용윤) 3/1-4/30 </v>
      </c>
      <c r="AX76" s="140"/>
      <c r="AY76" s="140"/>
      <c r="AZ76" s="140"/>
      <c r="BA76" s="140"/>
      <c r="BB76" s="140"/>
      <c r="BC76" s="140"/>
      <c r="BD76" s="140"/>
      <c r="BE76" s="140"/>
      <c r="BF76" s="140"/>
      <c r="BG76" s="140"/>
      <c r="BH76" s="140"/>
      <c r="BI76" s="140"/>
      <c r="BJ76" s="140"/>
      <c r="BK76" s="140"/>
      <c r="BL76" s="140"/>
      <c r="BM76" s="140"/>
      <c r="BN76" s="140"/>
      <c r="BO76" s="140"/>
      <c r="BP76" s="140"/>
      <c r="BQ76" s="140"/>
      <c r="BR76" s="140"/>
      <c r="BS76" s="140"/>
      <c r="BT76" s="140"/>
      <c r="BU76" s="140"/>
      <c r="BV76" s="140"/>
      <c r="BW76" s="140"/>
      <c r="BX76" s="140"/>
      <c r="BY76" s="140"/>
      <c r="BZ76" s="140"/>
      <c r="CA76" s="140"/>
      <c r="CB76" s="140"/>
      <c r="CC76" s="140"/>
      <c r="CD76" s="140"/>
      <c r="CE76" s="140"/>
      <c r="CF76" s="140"/>
      <c r="CG76" s="140"/>
    </row>
    <row r="77" spans="1:85" ht="12" customHeight="1" outlineLevel="3">
      <c r="A77" s="129"/>
      <c r="B77" s="129"/>
      <c r="C77" s="129">
        <v>4</v>
      </c>
      <c r="D77" s="130" t="s">
        <v>1496</v>
      </c>
      <c r="E77" s="131"/>
      <c r="F77" s="131"/>
      <c r="G77" s="131"/>
      <c r="H77" s="131" t="s">
        <v>1486</v>
      </c>
      <c r="I77" s="131"/>
      <c r="J77" s="131"/>
      <c r="K77" s="131"/>
      <c r="L77" s="131"/>
      <c r="M77" s="131"/>
      <c r="N77" s="131"/>
      <c r="O77" s="131"/>
      <c r="P77" s="132">
        <v>44409</v>
      </c>
      <c r="Q77" s="132">
        <v>44439</v>
      </c>
      <c r="R77" s="133"/>
      <c r="S77" s="134">
        <v>22</v>
      </c>
      <c r="T77" s="134">
        <v>0</v>
      </c>
      <c r="U77" s="134">
        <v>22</v>
      </c>
      <c r="V77" s="134">
        <v>0</v>
      </c>
      <c r="W77" s="132"/>
      <c r="X77" s="132"/>
      <c r="Y77" s="135"/>
      <c r="Z77" s="136">
        <v>0</v>
      </c>
      <c r="AA77" s="134"/>
      <c r="AB77" s="133" t="s">
        <v>1419</v>
      </c>
      <c r="AC77" s="137"/>
      <c r="AD77" s="138">
        <v>0</v>
      </c>
      <c r="AE77" s="165">
        <v>0</v>
      </c>
      <c r="AF77" s="139"/>
      <c r="AG77" s="140"/>
      <c r="AH77" s="140"/>
      <c r="AI77" s="140"/>
      <c r="AJ77" s="140"/>
      <c r="AK77" s="140"/>
      <c r="AL77" s="140"/>
      <c r="AM77" s="140"/>
      <c r="AN77" s="140"/>
      <c r="AO77" s="140"/>
      <c r="AP77" s="140"/>
      <c r="AQ77" s="140"/>
      <c r="AR77" s="140"/>
      <c r="AS77" s="140"/>
      <c r="AT77" s="140"/>
      <c r="AU77" s="140"/>
      <c r="AV77" s="140"/>
      <c r="AW77" s="140"/>
      <c r="AX77" s="140"/>
      <c r="AY77" s="140"/>
      <c r="AZ77" s="140"/>
      <c r="BA77" s="140"/>
      <c r="BB77" s="140"/>
      <c r="BC77" s="140"/>
      <c r="BD77" s="140"/>
      <c r="BE77" s="140"/>
      <c r="BF77" s="140"/>
      <c r="BG77" s="140"/>
      <c r="BH77" s="140"/>
      <c r="BI77" s="140"/>
      <c r="BJ77" s="140"/>
      <c r="BK77" s="140" t="str">
        <f>"" &amp; TEXT(AE77,"#0.00%") &amp; " "</f>
        <v xml:space="preserve">0.00% </v>
      </c>
      <c r="BL77" s="140"/>
      <c r="BM77" s="140"/>
      <c r="BN77" s="140"/>
      <c r="BO77" s="140" t="str">
        <f>"   " &amp; "ICACT 2021" &amp; "(박세형)" &amp; " " &amp; IF(P77="","",TEXT(P77,"M/D-")) &amp; IF(Q77="","",TEXT(Q77,"M/D")) &amp; " "</f>
        <v xml:space="preserve">   ICACT 2021(박세형) 8/1-8/31 </v>
      </c>
      <c r="BP77" s="140"/>
      <c r="BQ77" s="140"/>
      <c r="BR77" s="140"/>
      <c r="BS77" s="140"/>
      <c r="BT77" s="140"/>
      <c r="BU77" s="140"/>
      <c r="BV77" s="140"/>
      <c r="BW77" s="140"/>
      <c r="BX77" s="140"/>
      <c r="BY77" s="140"/>
      <c r="BZ77" s="140"/>
      <c r="CA77" s="140"/>
      <c r="CB77" s="140"/>
      <c r="CC77" s="140"/>
      <c r="CD77" s="140"/>
      <c r="CE77" s="140"/>
      <c r="CF77" s="140"/>
      <c r="CG77" s="140"/>
    </row>
    <row r="78" spans="1:85" ht="12" customHeight="1" outlineLevel="1">
      <c r="A78" s="129"/>
      <c r="B78" s="129" t="s">
        <v>1353</v>
      </c>
      <c r="C78" s="129">
        <v>2</v>
      </c>
      <c r="D78" s="130" t="s">
        <v>1492</v>
      </c>
      <c r="E78" s="131"/>
      <c r="F78" s="131" t="s">
        <v>1487</v>
      </c>
      <c r="G78" s="131"/>
      <c r="H78" s="131"/>
      <c r="I78" s="131"/>
      <c r="J78" s="131"/>
      <c r="K78" s="131"/>
      <c r="L78" s="131"/>
      <c r="M78" s="131"/>
      <c r="N78" s="131"/>
      <c r="O78" s="131"/>
      <c r="P78" s="132">
        <v>44348</v>
      </c>
      <c r="Q78" s="132">
        <v>44377</v>
      </c>
      <c r="R78" s="133"/>
      <c r="S78" s="134">
        <v>44</v>
      </c>
      <c r="T78" s="134">
        <v>0</v>
      </c>
      <c r="U78" s="134">
        <v>22</v>
      </c>
      <c r="V78" s="134">
        <v>0</v>
      </c>
      <c r="W78" s="132"/>
      <c r="X78" s="132"/>
      <c r="Y78" s="135">
        <v>0</v>
      </c>
      <c r="Z78" s="136">
        <v>0</v>
      </c>
      <c r="AA78" s="134"/>
      <c r="AB78" s="133" t="s">
        <v>1403</v>
      </c>
      <c r="AC78" s="137"/>
      <c r="AD78" s="138">
        <v>0</v>
      </c>
      <c r="AE78" s="193">
        <v>0</v>
      </c>
      <c r="AF78" s="139"/>
      <c r="AG78" s="140"/>
      <c r="AH78" s="140"/>
      <c r="AI78" s="140"/>
      <c r="AJ78" s="140"/>
      <c r="AK78" s="140"/>
      <c r="AL78" s="140"/>
      <c r="AM78" s="140"/>
      <c r="AN78" s="140"/>
      <c r="AO78" s="140"/>
      <c r="AP78" s="140"/>
      <c r="AQ78" s="140"/>
      <c r="AR78" s="140"/>
      <c r="AS78" s="140"/>
      <c r="AT78" s="140"/>
      <c r="AU78" s="140"/>
      <c r="AV78" s="140"/>
      <c r="AW78" s="140"/>
      <c r="AX78" s="140"/>
      <c r="AY78" s="140"/>
      <c r="AZ78" s="140"/>
      <c r="BA78" s="140"/>
      <c r="BB78" s="140" t="str">
        <f>"  " &amp; TEXT(AE78,"#0.00%") &amp; " "</f>
        <v xml:space="preserve">  0.00% </v>
      </c>
      <c r="BC78" s="140"/>
      <c r="BD78" s="140"/>
      <c r="BE78" s="140"/>
      <c r="BF78" s="140" t="str">
        <f>"    " &amp; "특허" &amp; "(신용윤,박세형)" &amp; " " &amp; IF(P78="","",TEXT(P78,"M/D-")) &amp; IF(Q78="","",TEXT(Q78,"M/D")) &amp; " "</f>
        <v xml:space="preserve">    특허(신용윤,박세형) 6/1-6/30 </v>
      </c>
      <c r="BG78" s="140"/>
      <c r="BH78" s="140"/>
      <c r="BI78" s="140"/>
      <c r="BJ78" s="140"/>
      <c r="BK78" s="140"/>
      <c r="BL78" s="140"/>
      <c r="BM78" s="140"/>
      <c r="BN78" s="140"/>
      <c r="BO78" s="140"/>
      <c r="BP78" s="140"/>
      <c r="BQ78" s="140"/>
      <c r="BR78" s="140"/>
      <c r="BS78" s="140"/>
      <c r="BT78" s="140"/>
      <c r="BU78" s="140"/>
      <c r="BV78" s="140"/>
      <c r="BW78" s="140"/>
      <c r="BX78" s="140"/>
      <c r="BY78" s="140"/>
      <c r="BZ78" s="140"/>
      <c r="CA78" s="140"/>
      <c r="CB78" s="140"/>
      <c r="CC78" s="140"/>
      <c r="CD78" s="140"/>
      <c r="CE78" s="140"/>
      <c r="CF78" s="140"/>
      <c r="CG78" s="140"/>
    </row>
    <row r="79" spans="1:85" ht="12" customHeight="1" outlineLevel="2">
      <c r="A79" s="129"/>
      <c r="B79" s="129" t="s">
        <v>1353</v>
      </c>
      <c r="C79" s="129">
        <v>3</v>
      </c>
      <c r="D79" s="130" t="s">
        <v>1493</v>
      </c>
      <c r="E79" s="131"/>
      <c r="F79" s="131"/>
      <c r="G79" s="131" t="s">
        <v>1494</v>
      </c>
      <c r="H79" s="131"/>
      <c r="I79" s="131"/>
      <c r="J79" s="131"/>
      <c r="K79" s="131"/>
      <c r="L79" s="131"/>
      <c r="M79" s="131"/>
      <c r="N79" s="131"/>
      <c r="O79" s="131"/>
      <c r="P79" s="132">
        <v>44348</v>
      </c>
      <c r="Q79" s="132">
        <v>44377</v>
      </c>
      <c r="R79" s="133"/>
      <c r="S79" s="134">
        <v>44</v>
      </c>
      <c r="T79" s="134">
        <v>0</v>
      </c>
      <c r="U79" s="134">
        <v>22</v>
      </c>
      <c r="V79" s="134">
        <v>0</v>
      </c>
      <c r="W79" s="132"/>
      <c r="X79" s="132"/>
      <c r="Y79" s="135">
        <v>0</v>
      </c>
      <c r="Z79" s="136">
        <v>0</v>
      </c>
      <c r="AA79" s="134"/>
      <c r="AB79" s="133" t="s">
        <v>1403</v>
      </c>
      <c r="AC79" s="137" t="s">
        <v>1487</v>
      </c>
      <c r="AD79" s="138">
        <v>0</v>
      </c>
      <c r="AE79" s="193">
        <v>0</v>
      </c>
      <c r="AF79" s="139"/>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t="str">
        <f>"  " &amp; TEXT(AE79,"#0.00%") &amp; " "</f>
        <v xml:space="preserve">  0.00% </v>
      </c>
      <c r="BC79" s="140"/>
      <c r="BD79" s="140"/>
      <c r="BE79" s="140"/>
      <c r="BF79" s="140" t="str">
        <f>"    " &amp; "국제" &amp; "(신용윤,박세형)" &amp; " " &amp; IF(P79="","",TEXT(P79,"M/D-")) &amp; IF(Q79="","",TEXT(Q79,"M/D")) &amp; " "</f>
        <v xml:space="preserve">    국제(신용윤,박세형) 6/1-6/30 </v>
      </c>
      <c r="BG79" s="140"/>
      <c r="BH79" s="140"/>
      <c r="BI79" s="140"/>
      <c r="BJ79" s="140"/>
      <c r="BK79" s="140"/>
      <c r="BL79" s="140"/>
      <c r="BM79" s="140"/>
      <c r="BN79" s="140"/>
      <c r="BO79" s="140"/>
      <c r="BP79" s="140"/>
      <c r="BQ79" s="140"/>
      <c r="BR79" s="140"/>
      <c r="BS79" s="140"/>
      <c r="BT79" s="140"/>
      <c r="BU79" s="140"/>
      <c r="BV79" s="140"/>
      <c r="BW79" s="140"/>
      <c r="BX79" s="140"/>
      <c r="BY79" s="140"/>
      <c r="BZ79" s="140"/>
      <c r="CA79" s="140"/>
      <c r="CB79" s="140"/>
      <c r="CC79" s="140"/>
      <c r="CD79" s="140"/>
      <c r="CE79" s="140"/>
      <c r="CF79" s="140"/>
      <c r="CG79" s="140"/>
    </row>
    <row r="80" spans="1:85" ht="12" customHeight="1" outlineLevel="3">
      <c r="A80" s="129"/>
      <c r="B80" s="129"/>
      <c r="C80" s="129">
        <v>4</v>
      </c>
      <c r="D80" s="130" t="s">
        <v>1497</v>
      </c>
      <c r="E80" s="131"/>
      <c r="F80" s="131"/>
      <c r="G80" s="131"/>
      <c r="H80" s="131" t="s">
        <v>1488</v>
      </c>
      <c r="I80" s="131"/>
      <c r="J80" s="131"/>
      <c r="K80" s="131"/>
      <c r="L80" s="131"/>
      <c r="M80" s="131"/>
      <c r="N80" s="131"/>
      <c r="O80" s="131"/>
      <c r="P80" s="132">
        <v>44348</v>
      </c>
      <c r="Q80" s="132">
        <v>44377</v>
      </c>
      <c r="R80" s="133"/>
      <c r="S80" s="134">
        <v>22</v>
      </c>
      <c r="T80" s="134">
        <v>0</v>
      </c>
      <c r="U80" s="134">
        <v>22</v>
      </c>
      <c r="V80" s="134">
        <v>0</v>
      </c>
      <c r="W80" s="132"/>
      <c r="X80" s="132"/>
      <c r="Y80" s="135"/>
      <c r="Z80" s="136">
        <v>0</v>
      </c>
      <c r="AA80" s="134"/>
      <c r="AB80" s="133" t="s">
        <v>1424</v>
      </c>
      <c r="AC80" s="137"/>
      <c r="AD80" s="138">
        <v>0</v>
      </c>
      <c r="AE80" s="165">
        <v>0</v>
      </c>
      <c r="AF80" s="139"/>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t="str">
        <f>"  " &amp; TEXT(AE80,"#0.00%") &amp; " "</f>
        <v xml:space="preserve">  0.00% </v>
      </c>
      <c r="BC80" s="140"/>
      <c r="BD80" s="140"/>
      <c r="BE80" s="140"/>
      <c r="BF80" s="140" t="str">
        <f>"    " &amp; "DHT 기반 동적 NDN 노드 구성 방법 (국제)" &amp; "(신용윤)" &amp; " " &amp; IF(P80="","",TEXT(P80,"M/D-")) &amp; IF(Q80="","",TEXT(Q80,"M/D")) &amp; " "</f>
        <v xml:space="preserve">    DHT 기반 동적 NDN 노드 구성 방법 (국제)(신용윤) 6/1-6/30 </v>
      </c>
      <c r="BG80" s="140"/>
      <c r="BH80" s="140"/>
      <c r="BI80" s="140"/>
      <c r="BJ80" s="140"/>
      <c r="BK80" s="140"/>
      <c r="BL80" s="140"/>
      <c r="BM80" s="140"/>
      <c r="BN80" s="140"/>
      <c r="BO80" s="140"/>
      <c r="BP80" s="140"/>
      <c r="BQ80" s="140"/>
      <c r="BR80" s="140"/>
      <c r="BS80" s="140"/>
      <c r="BT80" s="140"/>
      <c r="BU80" s="140"/>
      <c r="BV80" s="140"/>
      <c r="BW80" s="140"/>
      <c r="BX80" s="140"/>
      <c r="BY80" s="140"/>
      <c r="BZ80" s="140"/>
      <c r="CA80" s="140"/>
      <c r="CB80" s="140"/>
      <c r="CC80" s="140"/>
      <c r="CD80" s="140"/>
      <c r="CE80" s="140"/>
      <c r="CF80" s="140"/>
      <c r="CG80" s="140"/>
    </row>
    <row r="81" spans="1:85" ht="12" customHeight="1" outlineLevel="3">
      <c r="A81" s="129"/>
      <c r="B81" s="129"/>
      <c r="C81" s="129">
        <v>4</v>
      </c>
      <c r="D81" s="130" t="s">
        <v>1498</v>
      </c>
      <c r="E81" s="131"/>
      <c r="F81" s="131"/>
      <c r="G81" s="131"/>
      <c r="H81" s="131" t="s">
        <v>1546</v>
      </c>
      <c r="I81" s="131"/>
      <c r="J81" s="131"/>
      <c r="K81" s="131"/>
      <c r="L81" s="131"/>
      <c r="M81" s="131"/>
      <c r="N81" s="131"/>
      <c r="O81" s="131"/>
      <c r="P81" s="132">
        <v>44348</v>
      </c>
      <c r="Q81" s="132">
        <v>44377</v>
      </c>
      <c r="R81" s="133"/>
      <c r="S81" s="134">
        <v>22</v>
      </c>
      <c r="T81" s="134">
        <v>0</v>
      </c>
      <c r="U81" s="134">
        <v>22</v>
      </c>
      <c r="V81" s="134">
        <v>0</v>
      </c>
      <c r="W81" s="132"/>
      <c r="X81" s="132"/>
      <c r="Y81" s="135"/>
      <c r="Z81" s="136">
        <v>0</v>
      </c>
      <c r="AA81" s="134"/>
      <c r="AB81" s="133" t="s">
        <v>1419</v>
      </c>
      <c r="AC81" s="137"/>
      <c r="AD81" s="138">
        <v>0</v>
      </c>
      <c r="AE81" s="165">
        <v>0</v>
      </c>
      <c r="AF81" s="139"/>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t="str">
        <f>"  " &amp; TEXT(AE81,"#0.00%") &amp; " "</f>
        <v xml:space="preserve">  0.00% </v>
      </c>
      <c r="BC81" s="140"/>
      <c r="BD81" s="140"/>
      <c r="BE81" s="140"/>
      <c r="BF81" s="140" t="str">
        <f>"    " &amp; "MerkleTree 기반 효율적 Signature 관리 기법 및 장치 (국제)" &amp; "(박세형)" &amp; " " &amp; IF(P81="","",TEXT(P81,"M/D-")) &amp; IF(Q81="","",TEXT(Q81,"M/D")) &amp; " "</f>
        <v xml:space="preserve">    MerkleTree 기반 효율적 Signature 관리 기법 및 장치 (국제)(박세형) 6/1-6/30 </v>
      </c>
      <c r="BG81" s="140"/>
      <c r="BH81" s="140"/>
      <c r="BI81" s="140"/>
      <c r="BJ81" s="140"/>
      <c r="BK81" s="140"/>
      <c r="BL81" s="140"/>
      <c r="BM81" s="140"/>
      <c r="BN81" s="140"/>
      <c r="BO81" s="140"/>
      <c r="BP81" s="140"/>
      <c r="BQ81" s="140"/>
      <c r="BR81" s="140"/>
      <c r="BS81" s="140"/>
      <c r="BT81" s="140"/>
      <c r="BU81" s="140"/>
      <c r="BV81" s="140"/>
      <c r="BW81" s="140"/>
      <c r="BX81" s="140"/>
      <c r="BY81" s="140"/>
      <c r="BZ81" s="140"/>
      <c r="CA81" s="140"/>
      <c r="CB81" s="140"/>
      <c r="CC81" s="140"/>
      <c r="CD81" s="140"/>
      <c r="CE81" s="140"/>
      <c r="CF81" s="140"/>
      <c r="CG81" s="140"/>
    </row>
    <row r="82" spans="1:85" ht="12" customHeight="1">
      <c r="A82" s="143"/>
      <c r="B82" s="143"/>
      <c r="C82" s="143"/>
      <c r="D82" s="144"/>
      <c r="E82" s="145"/>
      <c r="F82" s="145"/>
      <c r="G82" s="145"/>
      <c r="H82" s="145"/>
      <c r="I82" s="145"/>
      <c r="J82" s="145"/>
      <c r="K82" s="145"/>
      <c r="L82" s="145"/>
      <c r="M82" s="145"/>
      <c r="N82" s="145"/>
      <c r="O82" s="145"/>
      <c r="P82" s="146"/>
      <c r="Q82" s="146"/>
      <c r="R82" s="147"/>
      <c r="S82" s="148"/>
      <c r="T82" s="148"/>
      <c r="U82" s="148"/>
      <c r="V82" s="148"/>
      <c r="W82" s="146"/>
      <c r="X82" s="146"/>
      <c r="Y82" s="149"/>
      <c r="Z82" s="150"/>
      <c r="AA82" s="148"/>
      <c r="AB82" s="147"/>
      <c r="AC82" s="151"/>
      <c r="AD82" s="152"/>
      <c r="AE82" s="153"/>
      <c r="AF82" s="141"/>
      <c r="AG82" s="141"/>
      <c r="AH82" s="141"/>
      <c r="AI82" s="141"/>
      <c r="AJ82" s="141"/>
      <c r="AK82" s="141"/>
      <c r="AL82" s="141"/>
      <c r="AM82" s="141"/>
      <c r="AN82" s="141"/>
      <c r="AO82" s="141"/>
      <c r="AP82" s="141"/>
      <c r="AQ82" s="141"/>
      <c r="AR82" s="141"/>
      <c r="AS82" s="141"/>
      <c r="AT82" s="141"/>
      <c r="AU82" s="141"/>
      <c r="AV82" s="141"/>
      <c r="AW82" s="141"/>
      <c r="AX82" s="141"/>
      <c r="AY82" s="141"/>
      <c r="AZ82" s="141"/>
      <c r="BA82" s="141"/>
      <c r="BB82" s="141"/>
      <c r="BC82" s="141"/>
      <c r="BD82" s="141"/>
      <c r="BE82" s="141"/>
      <c r="BF82" s="141"/>
      <c r="BG82" s="141"/>
      <c r="BH82" s="141"/>
      <c r="BI82" s="141"/>
      <c r="BJ82" s="141"/>
      <c r="BK82" s="141"/>
      <c r="BL82" s="141"/>
      <c r="BM82" s="141"/>
      <c r="BN82" s="141"/>
      <c r="BO82" s="141"/>
      <c r="BP82" s="141"/>
      <c r="BQ82" s="141"/>
      <c r="BR82" s="141"/>
      <c r="BS82" s="141"/>
      <c r="BT82" s="141"/>
      <c r="BU82" s="141"/>
      <c r="BV82" s="141"/>
      <c r="BW82" s="141"/>
      <c r="BX82" s="141"/>
      <c r="BY82" s="141"/>
      <c r="BZ82" s="141"/>
      <c r="CA82" s="141"/>
      <c r="CB82" s="141"/>
      <c r="CC82" s="141"/>
      <c r="CD82" s="141"/>
      <c r="CE82" s="141"/>
      <c r="CF82" s="141"/>
      <c r="CG82" s="141"/>
    </row>
  </sheetData>
  <sheetProtection formatCells="0" formatColumns="0" formatRows="0" insertColumns="0" insertRows="0" insertHyperlinks="0" deleteColumns="0" deleteRows="0" sort="0" autoFilter="0" pivotTables="0"/>
  <dataConsolidate/>
  <mergeCells count="51">
    <mergeCell ref="CB3:CE3"/>
    <mergeCell ref="CB2:CE2"/>
    <mergeCell ref="CF3:CI3"/>
    <mergeCell ref="CF2:CI2"/>
    <mergeCell ref="BP3:BS3"/>
    <mergeCell ref="BP2:BS2"/>
    <mergeCell ref="BT3:BW3"/>
    <mergeCell ref="BT2:BW2"/>
    <mergeCell ref="BX3:CA3"/>
    <mergeCell ref="BX2:CA2"/>
    <mergeCell ref="BD3:BG3"/>
    <mergeCell ref="BD2:BG2"/>
    <mergeCell ref="BH3:BK3"/>
    <mergeCell ref="BH2:BK2"/>
    <mergeCell ref="BL3:BO3"/>
    <mergeCell ref="BL2:BO2"/>
    <mergeCell ref="AZ3:BC3"/>
    <mergeCell ref="AZ2:BC2"/>
    <mergeCell ref="AJ3:AM3"/>
    <mergeCell ref="AJ2:AM2"/>
    <mergeCell ref="AN3:AQ3"/>
    <mergeCell ref="AN2:AQ2"/>
    <mergeCell ref="AR3:AU3"/>
    <mergeCell ref="AR2:AU2"/>
    <mergeCell ref="AV3:AY3"/>
    <mergeCell ref="AV2:AY2"/>
    <mergeCell ref="AC3:AC4"/>
    <mergeCell ref="AE3:AE4"/>
    <mergeCell ref="AD3:AD4"/>
    <mergeCell ref="AB3:AB4"/>
    <mergeCell ref="A3:A4"/>
    <mergeCell ref="B3:B4"/>
    <mergeCell ref="C3:C4"/>
    <mergeCell ref="D3:D4"/>
    <mergeCell ref="E3:N4"/>
    <mergeCell ref="AF3:AI3"/>
    <mergeCell ref="AF2:AI2"/>
    <mergeCell ref="D2:F2"/>
    <mergeCell ref="O3:O4"/>
    <mergeCell ref="V3:V4"/>
    <mergeCell ref="X3:X4"/>
    <mergeCell ref="Z3:Z4"/>
    <mergeCell ref="P3:P4"/>
    <mergeCell ref="Q3:Q4"/>
    <mergeCell ref="S3:S4"/>
    <mergeCell ref="R3:R4"/>
    <mergeCell ref="T3:T4"/>
    <mergeCell ref="W3:W4"/>
    <mergeCell ref="U3:U4"/>
    <mergeCell ref="Y3:Y4"/>
    <mergeCell ref="AA3:AA4"/>
  </mergeCells>
  <phoneticPr fontId="4" type="noConversion"/>
  <conditionalFormatting sqref="D5:AD81">
    <cfRule type="expression" dxfId="1" priority="2">
      <formula>($B5="G")</formula>
    </cfRule>
    <cfRule type="expression" dxfId="0" priority="1">
      <formula>($AE5=1)</formula>
    </cfRule>
  </conditionalFormatting>
  <hyperlinks>
    <hyperlink ref="AF1:BJ1" r:id="rId1" display="https://xlworks.net/xlgantt-project-scheduler/" xr:uid="{68D23534-F55D-45D3-9B7A-94E703342362}"/>
  </hyperlinks>
  <pageMargins left="0.19685039370078741" right="0.23622047244094491" top="0.43307086614173229" bottom="0.23622047244094491" header="0.23622047244094491" footer="0.19685039370078741"/>
  <pageSetup paperSize="8" scale="76"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3" sqref="D33"/>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1356</v>
      </c>
      <c r="B1" s="2"/>
      <c r="C1" s="2"/>
      <c r="D1" s="2"/>
      <c r="E1" s="2"/>
      <c r="F1" s="2"/>
      <c r="G1" s="2"/>
      <c r="H1" s="2"/>
      <c r="I1" s="2"/>
      <c r="J1" s="2"/>
      <c r="K1" s="2"/>
      <c r="L1" s="311"/>
      <c r="M1" s="312"/>
      <c r="N1" s="312"/>
      <c r="O1" s="3"/>
      <c r="P1" s="3"/>
      <c r="Q1" s="3"/>
    </row>
    <row r="2" spans="1:17" s="7" customFormat="1" ht="12.75">
      <c r="A2" s="5" t="s">
        <v>1304</v>
      </c>
      <c r="B2" s="6"/>
    </row>
    <row r="3" spans="1:17" s="7" customFormat="1" ht="12.75">
      <c r="A3" s="5" t="s">
        <v>1305</v>
      </c>
      <c r="B3" s="6"/>
    </row>
    <row r="4" spans="1:17" s="7" customFormat="1" ht="12.75">
      <c r="A4" s="313"/>
      <c r="B4" s="313"/>
      <c r="C4" s="8"/>
      <c r="D4" s="9"/>
      <c r="E4" s="9"/>
      <c r="F4" s="9"/>
    </row>
    <row r="5" spans="1:17" s="15" customFormat="1" ht="12.75">
      <c r="A5" s="10"/>
      <c r="B5" s="11"/>
      <c r="C5" s="12"/>
      <c r="D5" s="13"/>
      <c r="E5" s="14"/>
      <c r="F5" s="14"/>
      <c r="G5" s="14"/>
    </row>
    <row r="6" spans="1:17" s="15" customFormat="1" ht="12.75">
      <c r="A6" s="16" t="s">
        <v>1306</v>
      </c>
      <c r="B6" s="17">
        <v>1591</v>
      </c>
      <c r="C6" s="15" t="s">
        <v>0</v>
      </c>
      <c r="D6" s="310" t="s">
        <v>1307</v>
      </c>
      <c r="E6" s="310"/>
      <c r="F6" s="310"/>
      <c r="G6" s="310"/>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1308</v>
      </c>
      <c r="B9" s="17">
        <v>132</v>
      </c>
      <c r="C9" s="15" t="s">
        <v>0</v>
      </c>
      <c r="D9" s="309" t="s">
        <v>1309</v>
      </c>
      <c r="E9" s="309"/>
      <c r="F9" s="309"/>
      <c r="G9" s="309"/>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1302</v>
      </c>
      <c r="B12" s="17">
        <v>0</v>
      </c>
      <c r="C12" s="15" t="s">
        <v>0</v>
      </c>
      <c r="D12" s="314" t="s">
        <v>1303</v>
      </c>
      <c r="E12" s="309"/>
      <c r="F12" s="309"/>
      <c r="G12" s="309"/>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1310</v>
      </c>
      <c r="B15" s="17"/>
      <c r="C15" s="15" t="s">
        <v>0</v>
      </c>
      <c r="D15" s="309" t="s">
        <v>1311</v>
      </c>
      <c r="E15" s="309"/>
      <c r="F15" s="309"/>
      <c r="G15" s="309"/>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1312</v>
      </c>
      <c r="B18" s="39">
        <v>8.2966687617850407E-2</v>
      </c>
      <c r="D18" s="309" t="s">
        <v>1313</v>
      </c>
      <c r="E18" s="309"/>
      <c r="F18" s="309"/>
      <c r="G18" s="309"/>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1314</v>
      </c>
      <c r="B21" s="39">
        <v>0</v>
      </c>
      <c r="D21" s="309" t="s">
        <v>1315</v>
      </c>
      <c r="E21" s="309"/>
      <c r="F21" s="309"/>
      <c r="G21" s="309"/>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1316</v>
      </c>
      <c r="B24" s="49">
        <f>ACTUAL_RATE-PLANNED_RATE</f>
        <v>-8.2966687617850407E-2</v>
      </c>
      <c r="D24" s="310" t="s">
        <v>1317</v>
      </c>
      <c r="E24" s="310"/>
      <c r="F24" s="310"/>
      <c r="G24" s="310"/>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8"/>
  <sheetViews>
    <sheetView showGridLines="0" zoomScale="80" zoomScaleNormal="80" workbookViewId="0">
      <pane ySplit="6" topLeftCell="A7" activePane="bottomLeft" state="frozen"/>
      <selection pane="bottomLeft" activeCell="O20" sqref="O20"/>
    </sheetView>
  </sheetViews>
  <sheetFormatPr defaultColWidth="9.125" defaultRowHeight="15" outlineLevelRow="2"/>
  <cols>
    <col min="1" max="1" width="20.625" style="124" customWidth="1"/>
    <col min="2" max="2" width="8.125" style="124" bestFit="1" customWidth="1"/>
    <col min="3" max="3" width="56.5" style="124" bestFit="1" customWidth="1"/>
    <col min="4" max="5" width="10.625" style="124" bestFit="1" customWidth="1"/>
    <col min="6" max="6" width="9" style="207" bestFit="1" customWidth="1"/>
    <col min="7" max="9" width="9.25" style="90" bestFit="1" customWidth="1"/>
    <col min="10" max="10" width="7.5" style="90" bestFit="1" customWidth="1"/>
    <col min="11" max="11" width="6.5" style="90" bestFit="1" customWidth="1"/>
    <col min="12" max="12" width="8.75" style="90" bestFit="1" customWidth="1"/>
    <col min="13" max="16384" width="9.125" style="124"/>
  </cols>
  <sheetData>
    <row r="1" spans="1:12" ht="36.950000000000003" customHeight="1">
      <c r="A1" s="62" t="s">
        <v>1522</v>
      </c>
    </row>
    <row r="2" spans="1:12">
      <c r="A2" s="124" t="s">
        <v>602</v>
      </c>
    </row>
    <row r="3" spans="1:12">
      <c r="A3" s="124" t="s">
        <v>605</v>
      </c>
    </row>
    <row r="6" spans="1:12" ht="45">
      <c r="A6" s="63" t="s">
        <v>1224</v>
      </c>
      <c r="B6" s="89" t="s">
        <v>341</v>
      </c>
      <c r="C6" s="89" t="s">
        <v>1225</v>
      </c>
      <c r="D6" s="89" t="s">
        <v>554</v>
      </c>
      <c r="E6" s="89" t="s">
        <v>555</v>
      </c>
      <c r="F6" s="243" t="s">
        <v>1523</v>
      </c>
      <c r="G6" s="244" t="s">
        <v>1524</v>
      </c>
      <c r="H6" s="244" t="s">
        <v>1525</v>
      </c>
      <c r="I6" s="244" t="s">
        <v>1526</v>
      </c>
      <c r="J6" s="244" t="s">
        <v>768</v>
      </c>
      <c r="K6" s="244" t="s">
        <v>598</v>
      </c>
      <c r="L6" s="245" t="s">
        <v>912</v>
      </c>
    </row>
    <row r="7" spans="1:12" outlineLevel="2">
      <c r="A7" s="246" t="s">
        <v>1419</v>
      </c>
      <c r="B7" s="247" t="s">
        <v>1415</v>
      </c>
      <c r="C7" s="246" t="s">
        <v>1402</v>
      </c>
      <c r="D7" s="248">
        <v>44197</v>
      </c>
      <c r="E7" s="248">
        <v>44255</v>
      </c>
      <c r="F7" s="207">
        <v>1</v>
      </c>
      <c r="G7" s="90">
        <v>38</v>
      </c>
      <c r="H7" s="90">
        <v>18</v>
      </c>
      <c r="I7" s="90">
        <v>0</v>
      </c>
      <c r="J7" s="207">
        <v>0.47368421052631576</v>
      </c>
      <c r="K7" s="207">
        <v>0</v>
      </c>
      <c r="L7" s="257">
        <f t="shared" ref="L7:L38" si="0">K7-J7</f>
        <v>-0.47368421052631576</v>
      </c>
    </row>
    <row r="8" spans="1:12" outlineLevel="2">
      <c r="A8" s="246" t="s">
        <v>1419</v>
      </c>
      <c r="B8" s="247" t="s">
        <v>1243</v>
      </c>
      <c r="C8" s="246" t="s">
        <v>1405</v>
      </c>
      <c r="D8" s="248">
        <v>44256</v>
      </c>
      <c r="E8" s="248">
        <v>44286</v>
      </c>
      <c r="F8" s="207">
        <v>1</v>
      </c>
      <c r="G8" s="90">
        <v>22</v>
      </c>
      <c r="H8" s="90">
        <v>0</v>
      </c>
      <c r="I8" s="90">
        <v>0</v>
      </c>
      <c r="J8" s="207">
        <v>0</v>
      </c>
      <c r="K8" s="207">
        <v>0</v>
      </c>
      <c r="L8" s="207">
        <f t="shared" si="0"/>
        <v>0</v>
      </c>
    </row>
    <row r="9" spans="1:12" outlineLevel="2">
      <c r="A9" s="246" t="s">
        <v>1419</v>
      </c>
      <c r="B9" s="247" t="s">
        <v>1244</v>
      </c>
      <c r="C9" s="246" t="s">
        <v>1406</v>
      </c>
      <c r="D9" s="248">
        <v>44287</v>
      </c>
      <c r="E9" s="248">
        <v>44316</v>
      </c>
      <c r="F9" s="207">
        <v>0</v>
      </c>
      <c r="G9" s="90">
        <v>0</v>
      </c>
      <c r="H9" s="90">
        <v>0</v>
      </c>
      <c r="I9" s="90">
        <v>0</v>
      </c>
      <c r="J9" s="207">
        <v>0</v>
      </c>
      <c r="K9" s="207">
        <v>0</v>
      </c>
      <c r="L9" s="207">
        <f t="shared" si="0"/>
        <v>0</v>
      </c>
    </row>
    <row r="10" spans="1:12" outlineLevel="2">
      <c r="A10" s="246" t="s">
        <v>1419</v>
      </c>
      <c r="B10" s="247" t="s">
        <v>1427</v>
      </c>
      <c r="C10" s="246" t="s">
        <v>1426</v>
      </c>
      <c r="D10" s="248">
        <v>44501</v>
      </c>
      <c r="E10" s="248">
        <v>44530</v>
      </c>
      <c r="F10" s="207">
        <v>1</v>
      </c>
      <c r="G10" s="90">
        <v>22</v>
      </c>
      <c r="H10" s="90">
        <v>0</v>
      </c>
      <c r="I10" s="90">
        <v>0</v>
      </c>
      <c r="J10" s="207">
        <v>0</v>
      </c>
      <c r="K10" s="207">
        <v>0</v>
      </c>
      <c r="L10" s="207">
        <f t="shared" si="0"/>
        <v>0</v>
      </c>
    </row>
    <row r="11" spans="1:12" outlineLevel="2">
      <c r="A11" s="246" t="s">
        <v>1419</v>
      </c>
      <c r="B11" s="247" t="s">
        <v>1442</v>
      </c>
      <c r="C11" s="246" t="s">
        <v>1405</v>
      </c>
      <c r="D11" s="248">
        <v>44197</v>
      </c>
      <c r="E11" s="248">
        <v>44255</v>
      </c>
      <c r="F11" s="207">
        <v>1</v>
      </c>
      <c r="G11" s="90">
        <v>38</v>
      </c>
      <c r="H11" s="90">
        <v>18</v>
      </c>
      <c r="I11" s="90">
        <v>0</v>
      </c>
      <c r="J11" s="207">
        <v>0.47368421052631576</v>
      </c>
      <c r="K11" s="207">
        <v>0</v>
      </c>
      <c r="L11" s="257">
        <f t="shared" si="0"/>
        <v>-0.47368421052631576</v>
      </c>
    </row>
    <row r="12" spans="1:12" outlineLevel="2">
      <c r="A12" s="246" t="s">
        <v>1419</v>
      </c>
      <c r="B12" s="247" t="s">
        <v>1443</v>
      </c>
      <c r="C12" s="246" t="s">
        <v>1449</v>
      </c>
      <c r="D12" s="248">
        <v>44256</v>
      </c>
      <c r="E12" s="248">
        <v>44286</v>
      </c>
      <c r="F12" s="207">
        <v>1</v>
      </c>
      <c r="G12" s="90">
        <v>22</v>
      </c>
      <c r="H12" s="90">
        <v>0</v>
      </c>
      <c r="I12" s="90">
        <v>0</v>
      </c>
      <c r="J12" s="207">
        <v>0</v>
      </c>
      <c r="K12" s="207">
        <v>0</v>
      </c>
      <c r="L12" s="207">
        <f t="shared" si="0"/>
        <v>0</v>
      </c>
    </row>
    <row r="13" spans="1:12" outlineLevel="2">
      <c r="A13" s="246" t="s">
        <v>1419</v>
      </c>
      <c r="B13" s="247" t="s">
        <v>1444</v>
      </c>
      <c r="C13" s="246" t="s">
        <v>1438</v>
      </c>
      <c r="D13" s="248">
        <v>44287</v>
      </c>
      <c r="E13" s="248">
        <v>44377</v>
      </c>
      <c r="F13" s="207">
        <v>1</v>
      </c>
      <c r="G13" s="90">
        <v>63</v>
      </c>
      <c r="H13" s="90">
        <v>0</v>
      </c>
      <c r="I13" s="90">
        <v>0</v>
      </c>
      <c r="J13" s="207">
        <v>0</v>
      </c>
      <c r="K13" s="207">
        <v>0</v>
      </c>
      <c r="L13" s="207">
        <f t="shared" si="0"/>
        <v>0</v>
      </c>
    </row>
    <row r="14" spans="1:12" outlineLevel="2">
      <c r="A14" s="246" t="s">
        <v>1419</v>
      </c>
      <c r="B14" s="247" t="s">
        <v>1520</v>
      </c>
      <c r="C14" s="246" t="s">
        <v>1518</v>
      </c>
      <c r="D14" s="248">
        <v>44287</v>
      </c>
      <c r="E14" s="248">
        <v>44377</v>
      </c>
      <c r="F14" s="207">
        <v>1</v>
      </c>
      <c r="G14" s="90">
        <v>63</v>
      </c>
      <c r="H14" s="90">
        <v>0</v>
      </c>
      <c r="I14" s="90">
        <v>0</v>
      </c>
      <c r="J14" s="207">
        <v>0</v>
      </c>
      <c r="K14" s="207">
        <v>0</v>
      </c>
      <c r="L14" s="207">
        <f t="shared" si="0"/>
        <v>0</v>
      </c>
    </row>
    <row r="15" spans="1:12" outlineLevel="2">
      <c r="A15" s="246" t="s">
        <v>1419</v>
      </c>
      <c r="B15" s="247" t="s">
        <v>1521</v>
      </c>
      <c r="C15" s="246" t="s">
        <v>1519</v>
      </c>
      <c r="D15" s="248">
        <v>44287</v>
      </c>
      <c r="E15" s="248">
        <v>44377</v>
      </c>
      <c r="F15" s="207">
        <v>1</v>
      </c>
      <c r="G15" s="90">
        <v>63</v>
      </c>
      <c r="H15" s="90">
        <v>0</v>
      </c>
      <c r="I15" s="90">
        <v>0</v>
      </c>
      <c r="J15" s="207">
        <v>0</v>
      </c>
      <c r="K15" s="207">
        <v>0</v>
      </c>
      <c r="L15" s="207">
        <f t="shared" si="0"/>
        <v>0</v>
      </c>
    </row>
    <row r="16" spans="1:12" outlineLevel="2">
      <c r="A16" s="246" t="s">
        <v>1419</v>
      </c>
      <c r="B16" s="247" t="s">
        <v>1445</v>
      </c>
      <c r="C16" s="246" t="s">
        <v>1437</v>
      </c>
      <c r="D16" s="248">
        <v>44378</v>
      </c>
      <c r="E16" s="248">
        <v>44408</v>
      </c>
      <c r="F16" s="207">
        <v>1</v>
      </c>
      <c r="G16" s="90">
        <v>22</v>
      </c>
      <c r="H16" s="90">
        <v>0</v>
      </c>
      <c r="I16" s="90">
        <v>0</v>
      </c>
      <c r="J16" s="207">
        <v>0</v>
      </c>
      <c r="K16" s="207">
        <v>0</v>
      </c>
      <c r="L16" s="207">
        <f t="shared" si="0"/>
        <v>0</v>
      </c>
    </row>
    <row r="17" spans="1:12" outlineLevel="2">
      <c r="A17" s="246" t="s">
        <v>1419</v>
      </c>
      <c r="B17" s="247" t="s">
        <v>1433</v>
      </c>
      <c r="C17" s="246" t="s">
        <v>1426</v>
      </c>
      <c r="D17" s="248">
        <v>44409</v>
      </c>
      <c r="E17" s="248">
        <v>44530</v>
      </c>
      <c r="F17" s="207">
        <v>1</v>
      </c>
      <c r="G17" s="90">
        <v>84</v>
      </c>
      <c r="H17" s="90">
        <v>0</v>
      </c>
      <c r="I17" s="90">
        <v>0</v>
      </c>
      <c r="J17" s="207">
        <v>0</v>
      </c>
      <c r="K17" s="207">
        <v>0</v>
      </c>
      <c r="L17" s="207">
        <f t="shared" si="0"/>
        <v>0</v>
      </c>
    </row>
    <row r="18" spans="1:12" outlineLevel="2">
      <c r="A18" s="246" t="s">
        <v>1419</v>
      </c>
      <c r="B18" s="247" t="s">
        <v>1434</v>
      </c>
      <c r="C18" s="246" t="s">
        <v>1429</v>
      </c>
      <c r="D18" s="248">
        <v>44501</v>
      </c>
      <c r="E18" s="248">
        <v>44561</v>
      </c>
      <c r="F18" s="207">
        <v>1</v>
      </c>
      <c r="G18" s="90">
        <v>45</v>
      </c>
      <c r="H18" s="90">
        <v>0</v>
      </c>
      <c r="I18" s="90">
        <v>0</v>
      </c>
      <c r="J18" s="207">
        <v>0</v>
      </c>
      <c r="K18" s="207">
        <v>0</v>
      </c>
      <c r="L18" s="207">
        <f t="shared" si="0"/>
        <v>0</v>
      </c>
    </row>
    <row r="19" spans="1:12" outlineLevel="2">
      <c r="A19" s="246" t="s">
        <v>1419</v>
      </c>
      <c r="B19" s="247" t="s">
        <v>1446</v>
      </c>
      <c r="C19" s="246" t="s">
        <v>1435</v>
      </c>
      <c r="D19" s="248">
        <v>44348</v>
      </c>
      <c r="E19" s="248">
        <v>44377</v>
      </c>
      <c r="F19" s="207">
        <v>1</v>
      </c>
      <c r="G19" s="90">
        <v>22</v>
      </c>
      <c r="H19" s="90">
        <v>0</v>
      </c>
      <c r="I19" s="90">
        <v>0</v>
      </c>
      <c r="J19" s="207">
        <v>0</v>
      </c>
      <c r="K19" s="207">
        <v>0</v>
      </c>
      <c r="L19" s="207">
        <f t="shared" si="0"/>
        <v>0</v>
      </c>
    </row>
    <row r="20" spans="1:12" outlineLevel="2">
      <c r="A20" s="246" t="s">
        <v>1419</v>
      </c>
      <c r="B20" s="247" t="s">
        <v>1467</v>
      </c>
      <c r="C20" s="246" t="s">
        <v>1450</v>
      </c>
      <c r="D20" s="248">
        <v>44197</v>
      </c>
      <c r="E20" s="248">
        <v>44255</v>
      </c>
      <c r="F20" s="207">
        <v>1</v>
      </c>
      <c r="G20" s="90">
        <v>38</v>
      </c>
      <c r="H20" s="90">
        <v>18</v>
      </c>
      <c r="I20" s="90">
        <v>0</v>
      </c>
      <c r="J20" s="207">
        <v>0.47368421052631576</v>
      </c>
      <c r="K20" s="207">
        <v>0</v>
      </c>
      <c r="L20" s="257">
        <f t="shared" si="0"/>
        <v>-0.47368421052631576</v>
      </c>
    </row>
    <row r="21" spans="1:12" outlineLevel="2">
      <c r="A21" s="246" t="s">
        <v>1419</v>
      </c>
      <c r="B21" s="247" t="s">
        <v>1468</v>
      </c>
      <c r="C21" s="246" t="s">
        <v>1452</v>
      </c>
      <c r="D21" s="248">
        <v>44256</v>
      </c>
      <c r="E21" s="248">
        <v>44286</v>
      </c>
      <c r="F21" s="207">
        <v>1</v>
      </c>
      <c r="G21" s="90">
        <v>22</v>
      </c>
      <c r="H21" s="90">
        <v>0</v>
      </c>
      <c r="I21" s="90">
        <v>0</v>
      </c>
      <c r="J21" s="207">
        <v>0</v>
      </c>
      <c r="K21" s="207">
        <v>0</v>
      </c>
      <c r="L21" s="207">
        <f t="shared" si="0"/>
        <v>0</v>
      </c>
    </row>
    <row r="22" spans="1:12" outlineLevel="2">
      <c r="A22" s="246" t="s">
        <v>1419</v>
      </c>
      <c r="B22" s="247" t="s">
        <v>1247</v>
      </c>
      <c r="C22" s="246" t="s">
        <v>1470</v>
      </c>
      <c r="D22" s="248">
        <v>44287</v>
      </c>
      <c r="E22" s="248">
        <v>44316</v>
      </c>
      <c r="F22" s="207">
        <v>1</v>
      </c>
      <c r="G22" s="90">
        <v>22</v>
      </c>
      <c r="H22" s="90">
        <v>0</v>
      </c>
      <c r="I22" s="90">
        <v>0</v>
      </c>
      <c r="J22" s="207">
        <v>0</v>
      </c>
      <c r="K22" s="207">
        <v>0</v>
      </c>
      <c r="L22" s="207">
        <f t="shared" si="0"/>
        <v>0</v>
      </c>
    </row>
    <row r="23" spans="1:12" outlineLevel="2">
      <c r="A23" s="246" t="s">
        <v>1419</v>
      </c>
      <c r="B23" s="247" t="s">
        <v>1248</v>
      </c>
      <c r="C23" s="246" t="s">
        <v>1471</v>
      </c>
      <c r="D23" s="248">
        <v>44317</v>
      </c>
      <c r="E23" s="248">
        <v>44347</v>
      </c>
      <c r="F23" s="207">
        <v>1</v>
      </c>
      <c r="G23" s="90">
        <v>19</v>
      </c>
      <c r="H23" s="90">
        <v>0</v>
      </c>
      <c r="I23" s="90">
        <v>0</v>
      </c>
      <c r="J23" s="207">
        <v>0</v>
      </c>
      <c r="K23" s="207">
        <v>0</v>
      </c>
      <c r="L23" s="207">
        <f t="shared" si="0"/>
        <v>0</v>
      </c>
    </row>
    <row r="24" spans="1:12" outlineLevel="2">
      <c r="A24" s="246" t="s">
        <v>1419</v>
      </c>
      <c r="B24" s="247" t="s">
        <v>1478</v>
      </c>
      <c r="C24" s="246" t="s">
        <v>1472</v>
      </c>
      <c r="D24" s="248">
        <v>44348</v>
      </c>
      <c r="E24" s="248">
        <v>44377</v>
      </c>
      <c r="F24" s="207">
        <v>1</v>
      </c>
      <c r="G24" s="90">
        <v>22</v>
      </c>
      <c r="H24" s="90">
        <v>0</v>
      </c>
      <c r="I24" s="90">
        <v>0</v>
      </c>
      <c r="J24" s="207">
        <v>0</v>
      </c>
      <c r="K24" s="207">
        <v>0</v>
      </c>
      <c r="L24" s="207">
        <f t="shared" si="0"/>
        <v>0</v>
      </c>
    </row>
    <row r="25" spans="1:12" outlineLevel="2">
      <c r="A25" s="246" t="s">
        <v>1419</v>
      </c>
      <c r="B25" s="247" t="s">
        <v>1479</v>
      </c>
      <c r="C25" s="246" t="s">
        <v>1473</v>
      </c>
      <c r="D25" s="248">
        <v>44378</v>
      </c>
      <c r="E25" s="248">
        <v>44408</v>
      </c>
      <c r="F25" s="207">
        <v>1</v>
      </c>
      <c r="G25" s="90">
        <v>22</v>
      </c>
      <c r="H25" s="90">
        <v>0</v>
      </c>
      <c r="I25" s="90">
        <v>0</v>
      </c>
      <c r="J25" s="207">
        <v>0</v>
      </c>
      <c r="K25" s="207">
        <v>0</v>
      </c>
      <c r="L25" s="207">
        <f t="shared" si="0"/>
        <v>0</v>
      </c>
    </row>
    <row r="26" spans="1:12" outlineLevel="2">
      <c r="A26" s="246" t="s">
        <v>1419</v>
      </c>
      <c r="B26" s="247" t="s">
        <v>1480</v>
      </c>
      <c r="C26" s="246" t="s">
        <v>1474</v>
      </c>
      <c r="D26" s="248">
        <v>44409</v>
      </c>
      <c r="E26" s="248">
        <v>44439</v>
      </c>
      <c r="F26" s="207">
        <v>1</v>
      </c>
      <c r="G26" s="90">
        <v>22</v>
      </c>
      <c r="H26" s="90">
        <v>0</v>
      </c>
      <c r="I26" s="90">
        <v>0</v>
      </c>
      <c r="J26" s="207">
        <v>0</v>
      </c>
      <c r="K26" s="207">
        <v>0</v>
      </c>
      <c r="L26" s="207">
        <f t="shared" si="0"/>
        <v>0</v>
      </c>
    </row>
    <row r="27" spans="1:12" outlineLevel="2">
      <c r="A27" s="246" t="s">
        <v>1419</v>
      </c>
      <c r="B27" s="247" t="s">
        <v>1481</v>
      </c>
      <c r="C27" s="246" t="s">
        <v>1475</v>
      </c>
      <c r="D27" s="248">
        <v>44440</v>
      </c>
      <c r="E27" s="248">
        <v>44469</v>
      </c>
      <c r="F27" s="207">
        <v>1</v>
      </c>
      <c r="G27" s="90">
        <v>19</v>
      </c>
      <c r="H27" s="90">
        <v>0</v>
      </c>
      <c r="I27" s="90">
        <v>0</v>
      </c>
      <c r="J27" s="207">
        <v>0</v>
      </c>
      <c r="K27" s="207">
        <v>0</v>
      </c>
      <c r="L27" s="207">
        <f t="shared" si="0"/>
        <v>0</v>
      </c>
    </row>
    <row r="28" spans="1:12" outlineLevel="2">
      <c r="A28" s="246" t="s">
        <v>1419</v>
      </c>
      <c r="B28" s="247" t="s">
        <v>1482</v>
      </c>
      <c r="C28" s="246" t="s">
        <v>1476</v>
      </c>
      <c r="D28" s="248">
        <v>44470</v>
      </c>
      <c r="E28" s="248">
        <v>44500</v>
      </c>
      <c r="F28" s="207">
        <v>1</v>
      </c>
      <c r="G28" s="90">
        <v>21</v>
      </c>
      <c r="H28" s="90">
        <v>0</v>
      </c>
      <c r="I28" s="90">
        <v>0</v>
      </c>
      <c r="J28" s="207">
        <v>0</v>
      </c>
      <c r="K28" s="207">
        <v>0</v>
      </c>
      <c r="L28" s="207">
        <f t="shared" si="0"/>
        <v>0</v>
      </c>
    </row>
    <row r="29" spans="1:12" outlineLevel="2">
      <c r="A29" s="246" t="s">
        <v>1419</v>
      </c>
      <c r="B29" s="247" t="s">
        <v>1483</v>
      </c>
      <c r="C29" s="246" t="s">
        <v>1477</v>
      </c>
      <c r="D29" s="248">
        <v>44501</v>
      </c>
      <c r="E29" s="248">
        <v>44530</v>
      </c>
      <c r="F29" s="207">
        <v>1</v>
      </c>
      <c r="G29" s="90">
        <v>22</v>
      </c>
      <c r="H29" s="90">
        <v>0</v>
      </c>
      <c r="I29" s="90">
        <v>0</v>
      </c>
      <c r="J29" s="207">
        <v>0</v>
      </c>
      <c r="K29" s="207">
        <v>0</v>
      </c>
      <c r="L29" s="207">
        <f t="shared" si="0"/>
        <v>0</v>
      </c>
    </row>
    <row r="30" spans="1:12" outlineLevel="2">
      <c r="A30" s="246" t="s">
        <v>1419</v>
      </c>
      <c r="B30" s="247" t="s">
        <v>1496</v>
      </c>
      <c r="C30" s="246" t="s">
        <v>1486</v>
      </c>
      <c r="D30" s="248">
        <v>44409</v>
      </c>
      <c r="E30" s="248">
        <v>44439</v>
      </c>
      <c r="F30" s="207">
        <v>1</v>
      </c>
      <c r="G30" s="90">
        <v>22</v>
      </c>
      <c r="H30" s="90">
        <v>0</v>
      </c>
      <c r="I30" s="90">
        <v>0</v>
      </c>
      <c r="J30" s="207">
        <v>0</v>
      </c>
      <c r="K30" s="207">
        <v>0</v>
      </c>
      <c r="L30" s="207">
        <f t="shared" si="0"/>
        <v>0</v>
      </c>
    </row>
    <row r="31" spans="1:12" outlineLevel="2">
      <c r="A31" s="246" t="s">
        <v>1419</v>
      </c>
      <c r="B31" s="247" t="s">
        <v>1498</v>
      </c>
      <c r="C31" s="246" t="s">
        <v>1489</v>
      </c>
      <c r="D31" s="248">
        <v>44348</v>
      </c>
      <c r="E31" s="248">
        <v>44377</v>
      </c>
      <c r="F31" s="207">
        <v>1</v>
      </c>
      <c r="G31" s="90">
        <v>22</v>
      </c>
      <c r="H31" s="90">
        <v>0</v>
      </c>
      <c r="I31" s="90">
        <v>0</v>
      </c>
      <c r="J31" s="207">
        <v>0</v>
      </c>
      <c r="K31" s="207">
        <v>0</v>
      </c>
      <c r="L31" s="207">
        <f t="shared" si="0"/>
        <v>0</v>
      </c>
    </row>
    <row r="32" spans="1:12" outlineLevel="1">
      <c r="A32" s="249" t="s">
        <v>1527</v>
      </c>
      <c r="B32" s="250"/>
      <c r="C32" s="251"/>
      <c r="D32" s="252"/>
      <c r="E32" s="252"/>
      <c r="F32" s="253"/>
      <c r="G32" s="254">
        <f>SUBTOTAL(9,G7:G31)</f>
        <v>777</v>
      </c>
      <c r="H32" s="254">
        <f>SUBTOTAL(9,H7:H31)</f>
        <v>54</v>
      </c>
      <c r="I32" s="254">
        <f>SUBTOTAL(9,I7:I31)</f>
        <v>0</v>
      </c>
      <c r="J32" s="253">
        <f>H32/G32</f>
        <v>6.9498069498069498E-2</v>
      </c>
      <c r="K32" s="253">
        <f>I32/G32</f>
        <v>0</v>
      </c>
      <c r="L32" s="258">
        <f t="shared" si="0"/>
        <v>-6.9498069498069498E-2</v>
      </c>
    </row>
    <row r="33" spans="1:12" outlineLevel="2">
      <c r="A33" s="246" t="s">
        <v>1424</v>
      </c>
      <c r="B33" s="247" t="s">
        <v>1415</v>
      </c>
      <c r="C33" s="246" t="s">
        <v>1402</v>
      </c>
      <c r="D33" s="248">
        <v>44197</v>
      </c>
      <c r="E33" s="248">
        <v>44255</v>
      </c>
      <c r="F33" s="207">
        <v>1</v>
      </c>
      <c r="G33" s="90">
        <v>38</v>
      </c>
      <c r="H33" s="90">
        <v>18</v>
      </c>
      <c r="I33" s="90">
        <v>0</v>
      </c>
      <c r="J33" s="207">
        <v>0.47368421052631576</v>
      </c>
      <c r="K33" s="207">
        <v>0</v>
      </c>
      <c r="L33" s="257">
        <f t="shared" si="0"/>
        <v>-0.47368421052631576</v>
      </c>
    </row>
    <row r="34" spans="1:12" outlineLevel="2">
      <c r="A34" s="246" t="s">
        <v>1424</v>
      </c>
      <c r="B34" s="247" t="s">
        <v>1243</v>
      </c>
      <c r="C34" s="246" t="s">
        <v>1405</v>
      </c>
      <c r="D34" s="248">
        <v>44256</v>
      </c>
      <c r="E34" s="248">
        <v>44286</v>
      </c>
      <c r="F34" s="207">
        <v>1</v>
      </c>
      <c r="G34" s="90">
        <v>22</v>
      </c>
      <c r="H34" s="90">
        <v>0</v>
      </c>
      <c r="I34" s="90">
        <v>0</v>
      </c>
      <c r="J34" s="207">
        <v>0</v>
      </c>
      <c r="K34" s="207">
        <v>0</v>
      </c>
      <c r="L34" s="207">
        <f t="shared" si="0"/>
        <v>0</v>
      </c>
    </row>
    <row r="35" spans="1:12" outlineLevel="2">
      <c r="A35" s="246" t="s">
        <v>1424</v>
      </c>
      <c r="B35" s="247" t="s">
        <v>1244</v>
      </c>
      <c r="C35" s="246" t="s">
        <v>1406</v>
      </c>
      <c r="D35" s="248">
        <v>44287</v>
      </c>
      <c r="E35" s="248">
        <v>44316</v>
      </c>
      <c r="F35" s="207">
        <v>0</v>
      </c>
      <c r="G35" s="90">
        <v>0</v>
      </c>
      <c r="H35" s="90">
        <v>0</v>
      </c>
      <c r="I35" s="90">
        <v>0</v>
      </c>
      <c r="J35" s="207">
        <v>0</v>
      </c>
      <c r="K35" s="207">
        <v>0</v>
      </c>
      <c r="L35" s="207">
        <f t="shared" si="0"/>
        <v>0</v>
      </c>
    </row>
    <row r="36" spans="1:12" outlineLevel="2">
      <c r="A36" s="246" t="s">
        <v>1424</v>
      </c>
      <c r="B36" s="247" t="s">
        <v>1440</v>
      </c>
      <c r="C36" s="246" t="s">
        <v>1439</v>
      </c>
      <c r="D36" s="248">
        <v>44317</v>
      </c>
      <c r="E36" s="248">
        <v>44469</v>
      </c>
      <c r="F36" s="207">
        <v>1</v>
      </c>
      <c r="G36" s="90">
        <v>104</v>
      </c>
      <c r="H36" s="90">
        <v>0</v>
      </c>
      <c r="I36" s="90">
        <v>0</v>
      </c>
      <c r="J36" s="207">
        <v>0</v>
      </c>
      <c r="K36" s="207">
        <v>0</v>
      </c>
      <c r="L36" s="207">
        <f t="shared" si="0"/>
        <v>0</v>
      </c>
    </row>
    <row r="37" spans="1:12" outlineLevel="2">
      <c r="A37" s="246" t="s">
        <v>1424</v>
      </c>
      <c r="B37" s="247" t="s">
        <v>1441</v>
      </c>
      <c r="C37" s="246" t="s">
        <v>1437</v>
      </c>
      <c r="D37" s="248">
        <v>44470</v>
      </c>
      <c r="E37" s="248">
        <v>44530</v>
      </c>
      <c r="F37" s="207">
        <v>1</v>
      </c>
      <c r="G37" s="90">
        <v>43</v>
      </c>
      <c r="H37" s="90">
        <v>0</v>
      </c>
      <c r="I37" s="90">
        <v>0</v>
      </c>
      <c r="J37" s="207">
        <v>0</v>
      </c>
      <c r="K37" s="207">
        <v>0</v>
      </c>
      <c r="L37" s="207">
        <f t="shared" si="0"/>
        <v>0</v>
      </c>
    </row>
    <row r="38" spans="1:12" outlineLevel="2">
      <c r="A38" s="246" t="s">
        <v>1424</v>
      </c>
      <c r="B38" s="247" t="s">
        <v>1427</v>
      </c>
      <c r="C38" s="246" t="s">
        <v>1426</v>
      </c>
      <c r="D38" s="248">
        <v>44501</v>
      </c>
      <c r="E38" s="248">
        <v>44530</v>
      </c>
      <c r="F38" s="207">
        <v>1</v>
      </c>
      <c r="G38" s="90">
        <v>22</v>
      </c>
      <c r="H38" s="90">
        <v>0</v>
      </c>
      <c r="I38" s="90">
        <v>0</v>
      </c>
      <c r="J38" s="207">
        <v>0</v>
      </c>
      <c r="K38" s="207">
        <v>0</v>
      </c>
      <c r="L38" s="207">
        <f t="shared" si="0"/>
        <v>0</v>
      </c>
    </row>
    <row r="39" spans="1:12" outlineLevel="2">
      <c r="A39" s="246" t="s">
        <v>1424</v>
      </c>
      <c r="B39" s="247" t="s">
        <v>1428</v>
      </c>
      <c r="C39" s="246" t="s">
        <v>1429</v>
      </c>
      <c r="D39" s="248">
        <v>44531</v>
      </c>
      <c r="E39" s="248">
        <v>44561</v>
      </c>
      <c r="F39" s="207">
        <v>1</v>
      </c>
      <c r="G39" s="90">
        <v>23</v>
      </c>
      <c r="H39" s="90">
        <v>0</v>
      </c>
      <c r="I39" s="90">
        <v>0</v>
      </c>
      <c r="J39" s="207">
        <v>0</v>
      </c>
      <c r="K39" s="207">
        <v>0</v>
      </c>
      <c r="L39" s="207">
        <f t="shared" ref="L39:L56" si="1">K39-J39</f>
        <v>0</v>
      </c>
    </row>
    <row r="40" spans="1:12" outlineLevel="2">
      <c r="A40" s="246" t="s">
        <v>1424</v>
      </c>
      <c r="B40" s="247" t="s">
        <v>1442</v>
      </c>
      <c r="C40" s="246" t="s">
        <v>1405</v>
      </c>
      <c r="D40" s="248">
        <v>44197</v>
      </c>
      <c r="E40" s="248">
        <v>44255</v>
      </c>
      <c r="F40" s="207">
        <v>1</v>
      </c>
      <c r="G40" s="90">
        <v>38</v>
      </c>
      <c r="H40" s="90">
        <v>18</v>
      </c>
      <c r="I40" s="90">
        <v>0</v>
      </c>
      <c r="J40" s="207">
        <v>0.47368421052631576</v>
      </c>
      <c r="K40" s="207">
        <v>0</v>
      </c>
      <c r="L40" s="257">
        <f t="shared" si="1"/>
        <v>-0.47368421052631576</v>
      </c>
    </row>
    <row r="41" spans="1:12" outlineLevel="2">
      <c r="A41" s="246" t="s">
        <v>1424</v>
      </c>
      <c r="B41" s="247" t="s">
        <v>1443</v>
      </c>
      <c r="C41" s="246" t="s">
        <v>1449</v>
      </c>
      <c r="D41" s="248">
        <v>44256</v>
      </c>
      <c r="E41" s="248">
        <v>44286</v>
      </c>
      <c r="F41" s="207">
        <v>1</v>
      </c>
      <c r="G41" s="90">
        <v>22</v>
      </c>
      <c r="H41" s="90">
        <v>0</v>
      </c>
      <c r="I41" s="90">
        <v>0</v>
      </c>
      <c r="J41" s="207">
        <v>0</v>
      </c>
      <c r="K41" s="207">
        <v>0</v>
      </c>
      <c r="L41" s="207">
        <f t="shared" si="1"/>
        <v>0</v>
      </c>
    </row>
    <row r="42" spans="1:12" outlineLevel="2">
      <c r="A42" s="246" t="s">
        <v>1424</v>
      </c>
      <c r="B42" s="247" t="s">
        <v>1446</v>
      </c>
      <c r="C42" s="246" t="s">
        <v>1435</v>
      </c>
      <c r="D42" s="248">
        <v>44348</v>
      </c>
      <c r="E42" s="248">
        <v>44377</v>
      </c>
      <c r="F42" s="207">
        <v>1</v>
      </c>
      <c r="G42" s="90">
        <v>22</v>
      </c>
      <c r="H42" s="90">
        <v>0</v>
      </c>
      <c r="I42" s="90">
        <v>0</v>
      </c>
      <c r="J42" s="207">
        <v>0</v>
      </c>
      <c r="K42" s="207">
        <v>0</v>
      </c>
      <c r="L42" s="207">
        <f t="shared" si="1"/>
        <v>0</v>
      </c>
    </row>
    <row r="43" spans="1:12" outlineLevel="2">
      <c r="A43" s="246" t="s">
        <v>1424</v>
      </c>
      <c r="B43" s="247" t="s">
        <v>1447</v>
      </c>
      <c r="C43" s="246" t="s">
        <v>1422</v>
      </c>
      <c r="D43" s="248">
        <v>44378</v>
      </c>
      <c r="E43" s="248">
        <v>44408</v>
      </c>
      <c r="F43" s="207">
        <v>1</v>
      </c>
      <c r="G43" s="90">
        <v>22</v>
      </c>
      <c r="H43" s="90">
        <v>0</v>
      </c>
      <c r="I43" s="90">
        <v>0</v>
      </c>
      <c r="J43" s="207">
        <v>0</v>
      </c>
      <c r="K43" s="207">
        <v>0</v>
      </c>
      <c r="L43" s="207">
        <f t="shared" si="1"/>
        <v>0</v>
      </c>
    </row>
    <row r="44" spans="1:12" outlineLevel="2">
      <c r="A44" s="246" t="s">
        <v>1424</v>
      </c>
      <c r="B44" s="247" t="s">
        <v>1448</v>
      </c>
      <c r="C44" s="246" t="s">
        <v>1436</v>
      </c>
      <c r="D44" s="248">
        <v>44409</v>
      </c>
      <c r="E44" s="248">
        <v>44439</v>
      </c>
      <c r="F44" s="207">
        <v>1</v>
      </c>
      <c r="G44" s="90">
        <v>22</v>
      </c>
      <c r="H44" s="90">
        <v>0</v>
      </c>
      <c r="I44" s="90">
        <v>0</v>
      </c>
      <c r="J44" s="207">
        <v>0</v>
      </c>
      <c r="K44" s="207">
        <v>0</v>
      </c>
      <c r="L44" s="207">
        <f t="shared" si="1"/>
        <v>0</v>
      </c>
    </row>
    <row r="45" spans="1:12" outlineLevel="2">
      <c r="A45" s="246" t="s">
        <v>1424</v>
      </c>
      <c r="B45" s="247" t="s">
        <v>1467</v>
      </c>
      <c r="C45" s="246" t="s">
        <v>1450</v>
      </c>
      <c r="D45" s="248">
        <v>44197</v>
      </c>
      <c r="E45" s="248">
        <v>44255</v>
      </c>
      <c r="F45" s="207">
        <v>1</v>
      </c>
      <c r="G45" s="90">
        <v>38</v>
      </c>
      <c r="H45" s="90">
        <v>18</v>
      </c>
      <c r="I45" s="90">
        <v>0</v>
      </c>
      <c r="J45" s="207">
        <v>0.47368421052631576</v>
      </c>
      <c r="K45" s="207">
        <v>0</v>
      </c>
      <c r="L45" s="257">
        <f t="shared" si="1"/>
        <v>-0.47368421052631576</v>
      </c>
    </row>
    <row r="46" spans="1:12" outlineLevel="2">
      <c r="A46" s="246" t="s">
        <v>1424</v>
      </c>
      <c r="B46" s="247" t="s">
        <v>1247</v>
      </c>
      <c r="C46" s="246" t="s">
        <v>1470</v>
      </c>
      <c r="D46" s="248">
        <v>44287</v>
      </c>
      <c r="E46" s="248">
        <v>44316</v>
      </c>
      <c r="F46" s="207">
        <v>1</v>
      </c>
      <c r="G46" s="90">
        <v>22</v>
      </c>
      <c r="H46" s="90">
        <v>0</v>
      </c>
      <c r="I46" s="90">
        <v>0</v>
      </c>
      <c r="J46" s="207">
        <v>0</v>
      </c>
      <c r="K46" s="207">
        <v>0</v>
      </c>
      <c r="L46" s="207">
        <f t="shared" si="1"/>
        <v>0</v>
      </c>
    </row>
    <row r="47" spans="1:12" outlineLevel="2">
      <c r="A47" s="246" t="s">
        <v>1424</v>
      </c>
      <c r="B47" s="247" t="s">
        <v>1478</v>
      </c>
      <c r="C47" s="246" t="s">
        <v>1472</v>
      </c>
      <c r="D47" s="248">
        <v>44348</v>
      </c>
      <c r="E47" s="248">
        <v>44377</v>
      </c>
      <c r="F47" s="207">
        <v>1</v>
      </c>
      <c r="G47" s="90">
        <v>22</v>
      </c>
      <c r="H47" s="90">
        <v>0</v>
      </c>
      <c r="I47" s="90">
        <v>0</v>
      </c>
      <c r="J47" s="207">
        <v>0</v>
      </c>
      <c r="K47" s="207">
        <v>0</v>
      </c>
      <c r="L47" s="207">
        <f t="shared" si="1"/>
        <v>0</v>
      </c>
    </row>
    <row r="48" spans="1:12" outlineLevel="2">
      <c r="A48" s="246" t="s">
        <v>1424</v>
      </c>
      <c r="B48" s="247" t="s">
        <v>1480</v>
      </c>
      <c r="C48" s="246" t="s">
        <v>1474</v>
      </c>
      <c r="D48" s="248">
        <v>44409</v>
      </c>
      <c r="E48" s="248">
        <v>44439</v>
      </c>
      <c r="F48" s="207">
        <v>1</v>
      </c>
      <c r="G48" s="90">
        <v>22</v>
      </c>
      <c r="H48" s="90">
        <v>0</v>
      </c>
      <c r="I48" s="90">
        <v>0</v>
      </c>
      <c r="J48" s="207">
        <v>0</v>
      </c>
      <c r="K48" s="207">
        <v>0</v>
      </c>
      <c r="L48" s="207">
        <f t="shared" si="1"/>
        <v>0</v>
      </c>
    </row>
    <row r="49" spans="1:12" outlineLevel="2">
      <c r="A49" s="246" t="s">
        <v>1424</v>
      </c>
      <c r="B49" s="247" t="s">
        <v>1482</v>
      </c>
      <c r="C49" s="246" t="s">
        <v>1476</v>
      </c>
      <c r="D49" s="248">
        <v>44470</v>
      </c>
      <c r="E49" s="248">
        <v>44500</v>
      </c>
      <c r="F49" s="207">
        <v>1</v>
      </c>
      <c r="G49" s="90">
        <v>21</v>
      </c>
      <c r="H49" s="90">
        <v>0</v>
      </c>
      <c r="I49" s="90">
        <v>0</v>
      </c>
      <c r="J49" s="207">
        <v>0</v>
      </c>
      <c r="K49" s="207">
        <v>0</v>
      </c>
      <c r="L49" s="207">
        <f t="shared" si="1"/>
        <v>0</v>
      </c>
    </row>
    <row r="50" spans="1:12" outlineLevel="2">
      <c r="A50" s="246" t="s">
        <v>1424</v>
      </c>
      <c r="B50" s="247" t="s">
        <v>1510</v>
      </c>
      <c r="C50" s="246" t="s">
        <v>1500</v>
      </c>
      <c r="D50" s="248">
        <v>44287</v>
      </c>
      <c r="E50" s="248">
        <v>44316</v>
      </c>
      <c r="F50" s="207">
        <v>1</v>
      </c>
      <c r="G50" s="90">
        <v>22</v>
      </c>
      <c r="H50" s="90">
        <v>0</v>
      </c>
      <c r="I50" s="90">
        <v>0</v>
      </c>
      <c r="J50" s="207">
        <v>0</v>
      </c>
      <c r="K50" s="207">
        <v>0</v>
      </c>
      <c r="L50" s="207">
        <f t="shared" si="1"/>
        <v>0</v>
      </c>
    </row>
    <row r="51" spans="1:12" outlineLevel="2">
      <c r="A51" s="246" t="s">
        <v>1424</v>
      </c>
      <c r="B51" s="247" t="s">
        <v>1512</v>
      </c>
      <c r="C51" s="246" t="s">
        <v>1504</v>
      </c>
      <c r="D51" s="248">
        <v>44317</v>
      </c>
      <c r="E51" s="248">
        <v>44347</v>
      </c>
      <c r="F51" s="207">
        <v>1</v>
      </c>
      <c r="G51" s="90">
        <v>19</v>
      </c>
      <c r="H51" s="90">
        <v>0</v>
      </c>
      <c r="I51" s="90">
        <v>0</v>
      </c>
      <c r="J51" s="207">
        <v>0</v>
      </c>
      <c r="K51" s="207">
        <v>0</v>
      </c>
      <c r="L51" s="207">
        <f t="shared" si="1"/>
        <v>0</v>
      </c>
    </row>
    <row r="52" spans="1:12" outlineLevel="2">
      <c r="A52" s="246" t="s">
        <v>1424</v>
      </c>
      <c r="B52" s="247" t="s">
        <v>1515</v>
      </c>
      <c r="C52" s="246" t="s">
        <v>1507</v>
      </c>
      <c r="D52" s="248">
        <v>44501</v>
      </c>
      <c r="E52" s="248">
        <v>44530</v>
      </c>
      <c r="F52" s="207">
        <v>1</v>
      </c>
      <c r="G52" s="90">
        <v>22</v>
      </c>
      <c r="H52" s="90">
        <v>0</v>
      </c>
      <c r="I52" s="90">
        <v>0</v>
      </c>
      <c r="J52" s="207">
        <v>0</v>
      </c>
      <c r="K52" s="207">
        <v>0</v>
      </c>
      <c r="L52" s="207">
        <f t="shared" si="1"/>
        <v>0</v>
      </c>
    </row>
    <row r="53" spans="1:12" outlineLevel="2">
      <c r="A53" s="246" t="s">
        <v>1424</v>
      </c>
      <c r="B53" s="247" t="s">
        <v>1517</v>
      </c>
      <c r="C53" s="246" t="s">
        <v>1506</v>
      </c>
      <c r="D53" s="248">
        <v>44531</v>
      </c>
      <c r="E53" s="248">
        <v>44561</v>
      </c>
      <c r="F53" s="207">
        <v>1</v>
      </c>
      <c r="G53" s="90">
        <v>23</v>
      </c>
      <c r="H53" s="90">
        <v>0</v>
      </c>
      <c r="I53" s="90">
        <v>0</v>
      </c>
      <c r="J53" s="207">
        <v>0</v>
      </c>
      <c r="K53" s="207">
        <v>0</v>
      </c>
      <c r="L53" s="207">
        <f t="shared" si="1"/>
        <v>0</v>
      </c>
    </row>
    <row r="54" spans="1:12" outlineLevel="2">
      <c r="A54" s="246" t="s">
        <v>1424</v>
      </c>
      <c r="B54" s="247" t="s">
        <v>1495</v>
      </c>
      <c r="C54" s="246" t="s">
        <v>1499</v>
      </c>
      <c r="D54" s="248">
        <v>44256</v>
      </c>
      <c r="E54" s="248">
        <v>44316</v>
      </c>
      <c r="F54" s="207">
        <v>1</v>
      </c>
      <c r="G54" s="90">
        <v>44</v>
      </c>
      <c r="H54" s="90">
        <v>0</v>
      </c>
      <c r="I54" s="90">
        <v>0</v>
      </c>
      <c r="J54" s="207">
        <v>0</v>
      </c>
      <c r="K54" s="207">
        <v>0</v>
      </c>
      <c r="L54" s="207">
        <f t="shared" si="1"/>
        <v>0</v>
      </c>
    </row>
    <row r="55" spans="1:12" outlineLevel="2">
      <c r="A55" s="246" t="s">
        <v>1424</v>
      </c>
      <c r="B55" s="247" t="s">
        <v>1497</v>
      </c>
      <c r="C55" s="246" t="s">
        <v>1488</v>
      </c>
      <c r="D55" s="248">
        <v>44348</v>
      </c>
      <c r="E55" s="248">
        <v>44377</v>
      </c>
      <c r="F55" s="207">
        <v>1</v>
      </c>
      <c r="G55" s="90">
        <v>22</v>
      </c>
      <c r="H55" s="90">
        <v>0</v>
      </c>
      <c r="I55" s="90">
        <v>0</v>
      </c>
      <c r="J55" s="207">
        <v>0</v>
      </c>
      <c r="K55" s="207">
        <v>0</v>
      </c>
      <c r="L55" s="207">
        <f t="shared" si="1"/>
        <v>0</v>
      </c>
    </row>
    <row r="56" spans="1:12" outlineLevel="1">
      <c r="A56" s="249" t="s">
        <v>1528</v>
      </c>
      <c r="B56" s="250"/>
      <c r="C56" s="251"/>
      <c r="D56" s="252"/>
      <c r="E56" s="252"/>
      <c r="F56" s="253"/>
      <c r="G56" s="254">
        <f>SUBTOTAL(9,G33:G55)</f>
        <v>655</v>
      </c>
      <c r="H56" s="254">
        <f>SUBTOTAL(9,H33:H55)</f>
        <v>54</v>
      </c>
      <c r="I56" s="254">
        <f>SUBTOTAL(9,I33:I55)</f>
        <v>0</v>
      </c>
      <c r="J56" s="253">
        <f>H56/G56</f>
        <v>8.2442748091603055E-2</v>
      </c>
      <c r="K56" s="253">
        <f>I56/G56</f>
        <v>0</v>
      </c>
      <c r="L56" s="258">
        <f t="shared" si="1"/>
        <v>-8.2442748091603055E-2</v>
      </c>
    </row>
    <row r="57" spans="1:12" outlineLevel="1">
      <c r="J57" s="207"/>
      <c r="K57" s="207"/>
      <c r="L57" s="207"/>
    </row>
    <row r="58" spans="1:12" outlineLevel="1">
      <c r="A58" s="255" t="s">
        <v>1529</v>
      </c>
      <c r="B58" s="256"/>
      <c r="C58" s="256"/>
      <c r="D58" s="256"/>
      <c r="E58" s="256"/>
      <c r="F58" s="253"/>
      <c r="G58" s="254">
        <f>SUBTOTAL(9,G7:G57)</f>
        <v>1432</v>
      </c>
      <c r="H58" s="254">
        <f>SUBTOTAL(9,H7:H57)</f>
        <v>108</v>
      </c>
      <c r="I58" s="254">
        <f>SUBTOTAL(9,I7:I57)</f>
        <v>0</v>
      </c>
      <c r="J58" s="253">
        <f>H58/G58</f>
        <v>7.5418994413407825E-2</v>
      </c>
      <c r="K58" s="253">
        <f>I58/G58</f>
        <v>0</v>
      </c>
      <c r="L58" s="258">
        <f>K58-J58</f>
        <v>-7.5418994413407825E-2</v>
      </c>
    </row>
  </sheetData>
  <sortState ref="A7:M55">
    <sortCondition ref="A7:A50"/>
    <sortCondition ref="B7:B50"/>
  </sortState>
  <dataConsolidate/>
  <phoneticPr fontId="2" type="noConversion"/>
  <hyperlinks>
    <hyperlink ref="B33" location="Schedule!$D$8" display="1.1.1.1" xr:uid="{3CFA5A5D-D407-4A23-BC43-C78AF00B5007}"/>
    <hyperlink ref="B7" location="Schedule!$D$8" display="1.1.1.1" xr:uid="{B4F13A7B-7C9F-446A-8713-605B3A100C00}"/>
    <hyperlink ref="B34" location="Schedule!$D$10" display="1.1.2.1" xr:uid="{3A61B4C4-31E1-41A0-9419-5691701B9276}"/>
    <hyperlink ref="B8" location="Schedule!$D$10" display="1.1.2.1" xr:uid="{32890FBD-F2CC-44E5-803F-2887A0F6FE62}"/>
    <hyperlink ref="B35" location="Schedule!$D$11" display="1.1.2.2" xr:uid="{4A65A51C-D5E5-4BDF-AAF3-E942FE0DCAD8}"/>
    <hyperlink ref="B9" location="Schedule!$D$11" display="1.1.2.2" xr:uid="{46B33A43-6859-4EF5-AFB0-A9BCD3568348}"/>
    <hyperlink ref="B36" location="Schedule!$D$13" display="1.1.3.1" xr:uid="{9DA0427C-FD58-4C73-A2DB-3B5AA9987F51}"/>
    <hyperlink ref="B37" location="Schedule!$D$15" display="1.1.4.1" xr:uid="{A77E88EA-F62C-4AB6-8D97-25B76D9EC87E}"/>
    <hyperlink ref="B38" location="Schedule!$D$17" display="1.1.5.1" xr:uid="{693954E4-E19D-4F33-8DAA-CC8F33D72B2F}"/>
    <hyperlink ref="B10" location="Schedule!$D$17" display="1.1.5.1" xr:uid="{B99D383E-DC6E-4233-B9CE-99DD6A753686}"/>
    <hyperlink ref="B39" location="Schedule!$D$18" display="1.1.5.2" xr:uid="{84DBE717-05FA-47A8-8ACF-85B19DE41F9F}"/>
    <hyperlink ref="B40" location="Schedule!$D$21" display="1.2.1.1" xr:uid="{2789C39F-0E29-4013-B399-01E4C3DDE46B}"/>
    <hyperlink ref="B11" location="Schedule!$D$21" display="1.2.1.1" xr:uid="{646298C7-5A23-4C65-9543-C1745D3EFFB5}"/>
    <hyperlink ref="B41" location="Schedule!$D$22" display="1.2.1.2" xr:uid="{518E2C2A-3159-4404-B70E-5D1241B2F0C2}"/>
    <hyperlink ref="B12" location="Schedule!$D$22" display="1.2.1.2" xr:uid="{1DDE4ABB-9F78-43ED-B697-7F25B967C028}"/>
    <hyperlink ref="B13" location="Schedule!$D$24" display="1.2.2.1" xr:uid="{43B93589-C38A-4727-9B5D-1E33A9678E28}"/>
    <hyperlink ref="B14" location="Schedule!$D$25" display="1.2.2.2" xr:uid="{A5C6B2F4-A520-4557-BE50-60C256ED9E0F}"/>
    <hyperlink ref="B15" location="Schedule!$D$26" display="1.2.2.3" xr:uid="{78343C60-3E1D-4582-9099-5DE52538F172}"/>
    <hyperlink ref="B16" location="Schedule!$D$28" display="1.2.3.1" xr:uid="{5126A39C-DBA6-4358-9146-A4603DEA5EA1}"/>
    <hyperlink ref="B17" location="Schedule!$D$30" display="1.2.4.1" xr:uid="{A2429BCA-9B14-4C30-A268-0A7ADA5EF79E}"/>
    <hyperlink ref="B18" location="Schedule!$D$31" display="1.2.4.2" xr:uid="{29E33995-CF48-4183-A770-67BCA3567CCF}"/>
    <hyperlink ref="B42" location="Schedule!$D$34" display="1.3.1.1" xr:uid="{F8BCB182-1C16-4590-A6DD-9A8EF433FBB5}"/>
    <hyperlink ref="B19" location="Schedule!$D$34" display="1.3.1.1" xr:uid="{465A699E-1B0C-4BA2-906D-28D058DAFD55}"/>
    <hyperlink ref="B43" location="Schedule!$D$36" display="1.3.2.1" xr:uid="{1B23E366-0685-4A38-A202-C21E4A6D798A}"/>
    <hyperlink ref="B44" location="Schedule!$D$38" display="1.3.3.1" xr:uid="{BB49773D-9BB1-49C5-ABD3-6818924F31B9}"/>
    <hyperlink ref="B45" location="Schedule!$D$42" display="2.1.1.1" xr:uid="{03143C44-BF50-41A1-8824-14ED5A1A31FA}"/>
    <hyperlink ref="B20" location="Schedule!$D$42" display="2.1.1.1" xr:uid="{F35A4547-DECF-4106-A0AC-BC643A2D8EC4}"/>
    <hyperlink ref="B21" location="Schedule!$D$43" display="2.1.1.2" xr:uid="{EAA2D653-9C9A-4FEE-8EC1-3AD06A4C1AC2}"/>
    <hyperlink ref="B46" location="Schedule!$D$45" display="2.1.2.1" xr:uid="{CA872D04-4C13-440B-82DD-AE5057352467}"/>
    <hyperlink ref="B22" location="Schedule!$D$45" display="2.1.2.1" xr:uid="{F3E3E1ED-ADE2-4E8E-9C0B-F9E390E56D7B}"/>
    <hyperlink ref="B23" location="Schedule!$D$46" display="2.1.2.2" xr:uid="{88259350-6F86-4C24-A5F8-96CE654B6DBA}"/>
    <hyperlink ref="B47" location="Schedule!$D$47" display="2.1.2.3" xr:uid="{F05E5778-90BA-4132-B1A7-11AE18797C66}"/>
    <hyperlink ref="B24" location="Schedule!$D$47" display="2.1.2.3" xr:uid="{CA47157C-7447-4CFE-9B58-6D034DC1C0E0}"/>
    <hyperlink ref="B25" location="Schedule!$D$48" display="2.1.2.4" xr:uid="{A27FAE9E-73E6-446D-ADF9-43BA3AD75E8E}"/>
    <hyperlink ref="B48" location="Schedule!$D$49" display="2.1.2.5" xr:uid="{33B33580-32DA-43A0-81DB-E01964FA8D8B}"/>
    <hyperlink ref="B26" location="Schedule!$D$49" display="2.1.2.5" xr:uid="{CD390474-2325-42AB-8032-B778D2A910FC}"/>
    <hyperlink ref="B27" location="Schedule!$D$50" display="2.1.2.6" xr:uid="{B30924C5-BA44-4548-B4F9-96376CDC1E9A}"/>
    <hyperlink ref="B49" location="Schedule!$D$51" display="2.1.2.7" xr:uid="{99AB7929-37DB-4BDE-8FF6-DDEAA95A0D5D}"/>
    <hyperlink ref="B28" location="Schedule!$D$51" display="2.1.2.7" xr:uid="{058A241E-F337-4F6C-B557-D3EFE4CE3EF8}"/>
    <hyperlink ref="B29" location="Schedule!$D$52" display="2.1.2.8" xr:uid="{360F9A5B-1DB8-4E33-BC9E-A5997B921A04}"/>
    <hyperlink ref="B50" location="Schedule!$D$56" display="3.1.1.1" xr:uid="{1D18F767-2F5C-4C9A-B3CF-00FDE424E86B}"/>
    <hyperlink ref="B51" location="Schedule!$D$58" display="3.1.2.1" xr:uid="{7EAF78AC-B4A0-43D8-842B-561040584B47}"/>
    <hyperlink ref="B52" location="Schedule!$D$61" display="3.2.1.1" xr:uid="{D10152AD-485D-4079-8B70-8637D1E402E5}"/>
    <hyperlink ref="B53" location="Schedule!$D$63" display="3.2.2.1" xr:uid="{448A89A6-7F03-4552-B6D6-131013909BA2}"/>
    <hyperlink ref="B54" location="Schedule!$D$67" display="4.1.1.1" xr:uid="{857EA8F3-16C1-4432-A744-32DD20A2D551}"/>
    <hyperlink ref="B30" location="Schedule!$D$68" display="4.1.1.2" xr:uid="{0A6E42C0-9083-4D68-B07D-0A5BD7B351FE}"/>
    <hyperlink ref="B55" location="Schedule!$D$71" display="4.2.1.1" xr:uid="{E7F3C586-DC2F-43F1-951F-DB84AA350E2E}"/>
    <hyperlink ref="B31" location="Schedule!$D$72" display="4.2.1.2" xr:uid="{A84D17F9-18EF-44AE-AB35-3DD87D976AD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293"/>
  <sheetViews>
    <sheetView showGridLines="0" zoomScale="85" zoomScaleNormal="85" workbookViewId="0">
      <pane ySplit="1" topLeftCell="A2" activePane="bottomLeft" state="frozenSplit"/>
      <selection pane="bottomLeft" activeCell="H37" sqref="H37"/>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10" s="64" customFormat="1" ht="36.950000000000003" customHeight="1">
      <c r="A1" s="1" t="s">
        <v>1334</v>
      </c>
      <c r="B1" s="1"/>
      <c r="C1" s="1"/>
      <c r="D1" s="1"/>
      <c r="E1" s="1"/>
      <c r="F1" s="1"/>
      <c r="G1" s="1"/>
      <c r="H1" s="1"/>
    </row>
    <row r="2" spans="1:10" s="65" customFormat="1" ht="78.75" customHeight="1">
      <c r="A2" s="315" t="s">
        <v>1335</v>
      </c>
      <c r="B2" s="315"/>
      <c r="C2" s="315"/>
      <c r="D2" s="315"/>
      <c r="E2" s="315"/>
      <c r="F2" s="315"/>
      <c r="G2" s="315"/>
      <c r="H2" s="315"/>
    </row>
    <row r="3" spans="1:10" s="65" customFormat="1" ht="24.75" customHeight="1">
      <c r="A3" s="316" t="s">
        <v>1336</v>
      </c>
      <c r="B3" s="316"/>
      <c r="D3" s="316" t="s">
        <v>1337</v>
      </c>
      <c r="E3" s="316"/>
      <c r="G3" s="316" t="s">
        <v>1338</v>
      </c>
      <c r="H3" s="316"/>
    </row>
    <row r="4" spans="1:10" s="67" customFormat="1" ht="19.5" customHeight="1">
      <c r="A4" s="66" t="s">
        <v>1339</v>
      </c>
      <c r="B4" s="66" t="s">
        <v>1340</v>
      </c>
      <c r="D4" s="66" t="s">
        <v>1339</v>
      </c>
      <c r="E4" s="66" t="s">
        <v>1340</v>
      </c>
      <c r="G4" s="66" t="s">
        <v>1339</v>
      </c>
      <c r="H4" s="66" t="s">
        <v>1340</v>
      </c>
    </row>
    <row r="5" spans="1:10" s="93" customFormat="1" ht="16.5">
      <c r="A5" s="91" t="s">
        <v>1235</v>
      </c>
      <c r="B5" s="92">
        <v>44197</v>
      </c>
      <c r="C5" s="93" t="str">
        <f t="shared" ref="C5:C56" si="0">IF(B5&gt;0,TEXT(B5,"(aaa)"),"")</f>
        <v>(금)</v>
      </c>
      <c r="D5" s="94"/>
      <c r="E5" s="95"/>
      <c r="F5" s="93" t="str">
        <f t="shared" ref="F5:F56" si="1">IF(E5&gt;0,TEXT(E5,"(aaa)"),"")</f>
        <v/>
      </c>
      <c r="G5" s="94"/>
      <c r="H5" s="95"/>
      <c r="I5" s="93" t="str">
        <f t="shared" ref="I5:I56" si="2">IF(H5&gt;0,TEXT(H5,"(aaa)"),"")</f>
        <v/>
      </c>
    </row>
    <row r="6" spans="1:10" s="93" customFormat="1" ht="16.5">
      <c r="A6" s="91" t="s">
        <v>1236</v>
      </c>
      <c r="B6" s="92">
        <v>44238</v>
      </c>
      <c r="C6" s="93" t="str">
        <f t="shared" si="0"/>
        <v>(목)</v>
      </c>
      <c r="D6" s="94"/>
      <c r="E6" s="95"/>
      <c r="F6" s="93" t="str">
        <f t="shared" si="1"/>
        <v/>
      </c>
      <c r="G6" s="94"/>
      <c r="H6" s="95"/>
      <c r="I6" s="93" t="str">
        <f t="shared" si="2"/>
        <v/>
      </c>
    </row>
    <row r="7" spans="1:10" s="93" customFormat="1" ht="17.25">
      <c r="A7" s="91" t="s">
        <v>1237</v>
      </c>
      <c r="B7" s="92">
        <v>44239</v>
      </c>
      <c r="C7" s="93" t="str">
        <f t="shared" si="0"/>
        <v>(금)</v>
      </c>
      <c r="D7" s="94"/>
      <c r="E7" s="95"/>
      <c r="F7" s="93" t="str">
        <f t="shared" si="1"/>
        <v/>
      </c>
      <c r="G7" s="94"/>
      <c r="H7" s="95"/>
      <c r="I7" s="93" t="str">
        <f t="shared" si="2"/>
        <v/>
      </c>
      <c r="J7" s="96"/>
    </row>
    <row r="8" spans="1:10" s="93" customFormat="1" ht="17.25">
      <c r="A8" s="91" t="s">
        <v>1238</v>
      </c>
      <c r="B8" s="92">
        <v>44256</v>
      </c>
      <c r="C8" s="93" t="str">
        <f t="shared" si="0"/>
        <v>(월)</v>
      </c>
      <c r="D8" s="94"/>
      <c r="E8" s="95"/>
      <c r="F8" s="93" t="str">
        <f t="shared" si="1"/>
        <v/>
      </c>
      <c r="G8" s="94"/>
      <c r="H8" s="95"/>
      <c r="I8" s="93" t="str">
        <f t="shared" si="2"/>
        <v/>
      </c>
      <c r="J8" s="96"/>
    </row>
    <row r="9" spans="1:10" s="93" customFormat="1" ht="16.5">
      <c r="A9" s="91" t="s">
        <v>1239</v>
      </c>
      <c r="B9" s="92">
        <v>44321</v>
      </c>
      <c r="C9" s="93" t="str">
        <f t="shared" si="0"/>
        <v>(수)</v>
      </c>
      <c r="D9" s="94"/>
      <c r="E9" s="95"/>
      <c r="F9" s="93" t="str">
        <f t="shared" si="1"/>
        <v/>
      </c>
      <c r="G9" s="94"/>
      <c r="H9" s="95"/>
      <c r="I9" s="93" t="str">
        <f t="shared" si="2"/>
        <v/>
      </c>
    </row>
    <row r="10" spans="1:10" s="93" customFormat="1" ht="16.5">
      <c r="A10" s="91" t="s">
        <v>1240</v>
      </c>
      <c r="B10" s="92">
        <v>44335</v>
      </c>
      <c r="C10" s="93" t="str">
        <f t="shared" si="0"/>
        <v>(수)</v>
      </c>
      <c r="D10" s="94"/>
      <c r="E10" s="95"/>
      <c r="F10" s="93" t="str">
        <f t="shared" si="1"/>
        <v/>
      </c>
      <c r="G10" s="94"/>
      <c r="H10" s="95"/>
      <c r="I10" s="93" t="str">
        <f t="shared" si="2"/>
        <v/>
      </c>
    </row>
    <row r="11" spans="1:10" s="93" customFormat="1" ht="16.5">
      <c r="A11" s="91" t="s">
        <v>1241</v>
      </c>
      <c r="B11" s="92">
        <v>44459</v>
      </c>
      <c r="C11" s="93" t="str">
        <f t="shared" si="0"/>
        <v>(월)</v>
      </c>
      <c r="D11" s="94"/>
      <c r="E11" s="95"/>
      <c r="F11" s="93" t="str">
        <f t="shared" si="1"/>
        <v/>
      </c>
      <c r="G11" s="94"/>
      <c r="H11" s="95"/>
      <c r="I11" s="93" t="str">
        <f t="shared" si="2"/>
        <v/>
      </c>
    </row>
    <row r="12" spans="1:10" s="93" customFormat="1" ht="16.5">
      <c r="A12" s="91" t="s">
        <v>1242</v>
      </c>
      <c r="B12" s="92">
        <v>44460</v>
      </c>
      <c r="C12" s="93" t="str">
        <f t="shared" si="0"/>
        <v>(화)</v>
      </c>
      <c r="D12" s="94"/>
      <c r="E12" s="95"/>
      <c r="F12" s="93" t="str">
        <f t="shared" si="1"/>
        <v/>
      </c>
      <c r="G12" s="94"/>
      <c r="H12" s="95"/>
      <c r="I12" s="93" t="str">
        <f t="shared" si="2"/>
        <v/>
      </c>
    </row>
    <row r="13" spans="1:10" s="93" customFormat="1" ht="16.5">
      <c r="A13" s="91" t="s">
        <v>1241</v>
      </c>
      <c r="B13" s="92">
        <v>44461</v>
      </c>
      <c r="C13" s="93" t="str">
        <f t="shared" si="0"/>
        <v>(수)</v>
      </c>
      <c r="D13" s="94"/>
      <c r="E13" s="95"/>
      <c r="F13" s="93" t="str">
        <f t="shared" si="1"/>
        <v/>
      </c>
      <c r="G13" s="94"/>
      <c r="H13" s="95"/>
      <c r="I13" s="93" t="str">
        <f t="shared" si="2"/>
        <v/>
      </c>
    </row>
    <row r="14" spans="1:10" s="93" customFormat="1" ht="16.5">
      <c r="A14" s="91"/>
      <c r="B14" s="92"/>
      <c r="C14" s="93" t="str">
        <f t="shared" si="0"/>
        <v/>
      </c>
      <c r="D14" s="94"/>
      <c r="E14" s="95"/>
      <c r="F14" s="93" t="str">
        <f t="shared" si="1"/>
        <v/>
      </c>
      <c r="G14" s="94"/>
      <c r="H14" s="95"/>
      <c r="I14" s="93" t="str">
        <f t="shared" si="2"/>
        <v/>
      </c>
    </row>
    <row r="15" spans="1:10" s="93" customFormat="1" ht="16.5">
      <c r="A15" s="91"/>
      <c r="B15" s="92"/>
      <c r="C15" s="93" t="str">
        <f t="shared" si="0"/>
        <v/>
      </c>
      <c r="D15" s="94"/>
      <c r="E15" s="95"/>
      <c r="F15" s="93" t="str">
        <f t="shared" si="1"/>
        <v/>
      </c>
      <c r="G15" s="94"/>
      <c r="H15" s="95"/>
      <c r="I15" s="93" t="str">
        <f t="shared" si="2"/>
        <v/>
      </c>
    </row>
    <row r="16" spans="1:10" s="93" customFormat="1" ht="16.5">
      <c r="A16" s="91"/>
      <c r="B16" s="92"/>
      <c r="C16" s="93" t="str">
        <f t="shared" si="0"/>
        <v/>
      </c>
      <c r="D16" s="94"/>
      <c r="E16" s="95"/>
      <c r="F16" s="93" t="str">
        <f t="shared" si="1"/>
        <v/>
      </c>
      <c r="G16" s="94"/>
      <c r="H16" s="95"/>
      <c r="I16" s="93" t="str">
        <f t="shared" si="2"/>
        <v/>
      </c>
    </row>
    <row r="17" spans="1:9" s="93" customFormat="1" ht="16.5">
      <c r="A17" s="91"/>
      <c r="B17" s="92"/>
      <c r="C17" s="93" t="str">
        <f t="shared" si="0"/>
        <v/>
      </c>
      <c r="D17" s="94"/>
      <c r="E17" s="95"/>
      <c r="F17" s="93" t="str">
        <f t="shared" si="1"/>
        <v/>
      </c>
      <c r="G17" s="94"/>
      <c r="H17" s="95"/>
      <c r="I17" s="93" t="str">
        <f t="shared" si="2"/>
        <v/>
      </c>
    </row>
    <row r="18" spans="1:9" s="93" customFormat="1" ht="16.5">
      <c r="A18" s="91"/>
      <c r="B18" s="92"/>
      <c r="C18" s="93" t="str">
        <f t="shared" si="0"/>
        <v/>
      </c>
      <c r="D18" s="94"/>
      <c r="E18" s="95"/>
      <c r="F18" s="93" t="str">
        <f t="shared" si="1"/>
        <v/>
      </c>
      <c r="G18" s="94"/>
      <c r="H18" s="95"/>
      <c r="I18" s="93" t="str">
        <f t="shared" si="2"/>
        <v/>
      </c>
    </row>
    <row r="19" spans="1:9" s="93" customFormat="1" ht="16.5">
      <c r="A19" s="91"/>
      <c r="B19" s="92"/>
      <c r="C19" s="93" t="str">
        <f t="shared" si="0"/>
        <v/>
      </c>
      <c r="D19" s="94"/>
      <c r="E19" s="95"/>
      <c r="F19" s="93" t="str">
        <f t="shared" si="1"/>
        <v/>
      </c>
      <c r="G19" s="94"/>
      <c r="H19" s="95"/>
      <c r="I19" s="93" t="str">
        <f t="shared" si="2"/>
        <v/>
      </c>
    </row>
    <row r="20" spans="1:9" s="93" customFormat="1" ht="16.5">
      <c r="A20" s="91"/>
      <c r="B20" s="92"/>
      <c r="C20" s="93" t="str">
        <f t="shared" si="0"/>
        <v/>
      </c>
      <c r="D20" s="94"/>
      <c r="E20" s="95"/>
      <c r="F20" s="93" t="str">
        <f t="shared" si="1"/>
        <v/>
      </c>
      <c r="G20" s="94"/>
      <c r="H20" s="95"/>
      <c r="I20" s="93" t="str">
        <f t="shared" si="2"/>
        <v/>
      </c>
    </row>
    <row r="21" spans="1:9" s="93" customFormat="1" ht="16.5">
      <c r="A21" s="91"/>
      <c r="B21" s="92"/>
      <c r="C21" s="93" t="str">
        <f t="shared" si="0"/>
        <v/>
      </c>
      <c r="D21" s="94"/>
      <c r="E21" s="95"/>
      <c r="F21" s="93" t="str">
        <f t="shared" si="1"/>
        <v/>
      </c>
      <c r="G21" s="94"/>
      <c r="H21" s="95"/>
      <c r="I21" s="93" t="str">
        <f t="shared" si="2"/>
        <v/>
      </c>
    </row>
    <row r="22" spans="1:9" s="93" customFormat="1" ht="16.5">
      <c r="A22" s="91"/>
      <c r="B22" s="92"/>
      <c r="C22" s="93" t="str">
        <f t="shared" si="0"/>
        <v/>
      </c>
      <c r="D22" s="94"/>
      <c r="E22" s="95"/>
      <c r="F22" s="93" t="str">
        <f t="shared" si="1"/>
        <v/>
      </c>
      <c r="G22" s="94"/>
      <c r="H22" s="95"/>
      <c r="I22" s="93" t="str">
        <f t="shared" si="2"/>
        <v/>
      </c>
    </row>
    <row r="23" spans="1:9" s="93" customFormat="1" ht="16.5">
      <c r="A23" s="91"/>
      <c r="B23" s="92"/>
      <c r="C23" s="93" t="str">
        <f t="shared" si="0"/>
        <v/>
      </c>
      <c r="D23" s="94"/>
      <c r="E23" s="95"/>
      <c r="F23" s="93" t="str">
        <f t="shared" si="1"/>
        <v/>
      </c>
      <c r="G23" s="94"/>
      <c r="H23" s="95"/>
      <c r="I23" s="93" t="str">
        <f t="shared" si="2"/>
        <v/>
      </c>
    </row>
    <row r="24" spans="1:9" s="93" customFormat="1" ht="16.5">
      <c r="A24" s="91"/>
      <c r="B24" s="92"/>
      <c r="C24" s="93" t="str">
        <f t="shared" si="0"/>
        <v/>
      </c>
      <c r="D24" s="94"/>
      <c r="E24" s="95"/>
      <c r="F24" s="93" t="str">
        <f t="shared" si="1"/>
        <v/>
      </c>
      <c r="G24" s="94"/>
      <c r="H24" s="95"/>
      <c r="I24" s="93" t="str">
        <f t="shared" si="2"/>
        <v/>
      </c>
    </row>
    <row r="25" spans="1:9" s="93" customFormat="1" ht="16.5">
      <c r="A25" s="91"/>
      <c r="B25" s="92"/>
      <c r="C25" s="93" t="str">
        <f t="shared" si="0"/>
        <v/>
      </c>
      <c r="D25" s="94"/>
      <c r="E25" s="95"/>
      <c r="F25" s="93" t="str">
        <f t="shared" si="1"/>
        <v/>
      </c>
      <c r="G25" s="94"/>
      <c r="H25" s="95"/>
      <c r="I25" s="93" t="str">
        <f t="shared" si="2"/>
        <v/>
      </c>
    </row>
    <row r="26" spans="1:9" s="93" customFormat="1" ht="16.5">
      <c r="A26" s="91"/>
      <c r="B26" s="92"/>
      <c r="C26" s="93" t="str">
        <f t="shared" si="0"/>
        <v/>
      </c>
      <c r="D26" s="94"/>
      <c r="E26" s="95"/>
      <c r="F26" s="93" t="str">
        <f t="shared" si="1"/>
        <v/>
      </c>
      <c r="G26" s="94"/>
      <c r="H26" s="95"/>
      <c r="I26" s="93" t="str">
        <f t="shared" si="2"/>
        <v/>
      </c>
    </row>
    <row r="27" spans="1:9" s="93" customFormat="1" ht="16.5">
      <c r="A27" s="91"/>
      <c r="B27" s="92"/>
      <c r="C27" s="93" t="str">
        <f t="shared" si="0"/>
        <v/>
      </c>
      <c r="D27" s="94"/>
      <c r="E27" s="95"/>
      <c r="F27" s="93" t="str">
        <f t="shared" si="1"/>
        <v/>
      </c>
      <c r="G27" s="94"/>
      <c r="H27" s="95"/>
      <c r="I27" s="93" t="str">
        <f t="shared" si="2"/>
        <v/>
      </c>
    </row>
    <row r="28" spans="1:9" s="93" customFormat="1" ht="16.5">
      <c r="A28" s="91"/>
      <c r="B28" s="92"/>
      <c r="C28" s="93" t="str">
        <f t="shared" si="0"/>
        <v/>
      </c>
      <c r="D28" s="94"/>
      <c r="E28" s="95"/>
      <c r="F28" s="93" t="str">
        <f t="shared" si="1"/>
        <v/>
      </c>
      <c r="G28" s="94"/>
      <c r="H28" s="95"/>
      <c r="I28" s="93" t="str">
        <f t="shared" si="2"/>
        <v/>
      </c>
    </row>
    <row r="29" spans="1:9" s="93" customFormat="1" ht="16.5">
      <c r="A29" s="91"/>
      <c r="B29" s="92"/>
      <c r="C29" s="93" t="str">
        <f t="shared" si="0"/>
        <v/>
      </c>
      <c r="D29" s="94"/>
      <c r="E29" s="95"/>
      <c r="F29" s="93" t="str">
        <f t="shared" si="1"/>
        <v/>
      </c>
      <c r="G29" s="94"/>
      <c r="H29" s="95"/>
      <c r="I29" s="93" t="str">
        <f t="shared" si="2"/>
        <v/>
      </c>
    </row>
    <row r="30" spans="1:9" s="93" customFormat="1" ht="16.5">
      <c r="A30" s="91"/>
      <c r="B30" s="92"/>
      <c r="C30" s="93" t="str">
        <f t="shared" si="0"/>
        <v/>
      </c>
      <c r="D30" s="94"/>
      <c r="E30" s="95"/>
      <c r="F30" s="93" t="str">
        <f t="shared" si="1"/>
        <v/>
      </c>
      <c r="G30" s="94"/>
      <c r="H30" s="95"/>
      <c r="I30" s="93" t="str">
        <f t="shared" si="2"/>
        <v/>
      </c>
    </row>
    <row r="31" spans="1:9" s="93" customFormat="1" ht="16.5">
      <c r="A31" s="91"/>
      <c r="B31" s="92"/>
      <c r="C31" s="93" t="str">
        <f t="shared" si="0"/>
        <v/>
      </c>
      <c r="D31" s="94"/>
      <c r="E31" s="95"/>
      <c r="F31" s="93" t="str">
        <f t="shared" si="1"/>
        <v/>
      </c>
      <c r="G31" s="94"/>
      <c r="H31" s="95"/>
      <c r="I31" s="93" t="str">
        <f t="shared" si="2"/>
        <v/>
      </c>
    </row>
    <row r="32" spans="1:9" s="93" customFormat="1" ht="16.5">
      <c r="A32" s="91"/>
      <c r="B32" s="92"/>
      <c r="C32" s="93" t="str">
        <f t="shared" si="0"/>
        <v/>
      </c>
      <c r="D32" s="94"/>
      <c r="E32" s="95"/>
      <c r="F32" s="93" t="str">
        <f t="shared" si="1"/>
        <v/>
      </c>
      <c r="G32" s="94"/>
      <c r="H32" s="95"/>
      <c r="I32" s="93" t="str">
        <f t="shared" si="2"/>
        <v/>
      </c>
    </row>
    <row r="33" spans="1:9" s="93" customFormat="1" ht="16.5">
      <c r="A33" s="91"/>
      <c r="B33" s="92"/>
      <c r="C33" s="93" t="str">
        <f t="shared" si="0"/>
        <v/>
      </c>
      <c r="D33" s="94"/>
      <c r="E33" s="95"/>
      <c r="F33" s="93" t="str">
        <f t="shared" si="1"/>
        <v/>
      </c>
      <c r="G33" s="94"/>
      <c r="H33" s="95"/>
      <c r="I33" s="93" t="str">
        <f t="shared" si="2"/>
        <v/>
      </c>
    </row>
    <row r="34" spans="1:9" s="93" customFormat="1" ht="16.5">
      <c r="A34" s="91"/>
      <c r="B34" s="92"/>
      <c r="C34" s="93" t="str">
        <f t="shared" si="0"/>
        <v/>
      </c>
      <c r="D34" s="94"/>
      <c r="E34" s="95"/>
      <c r="F34" s="93" t="str">
        <f t="shared" si="1"/>
        <v/>
      </c>
      <c r="G34" s="94"/>
      <c r="H34" s="95"/>
      <c r="I34" s="93" t="str">
        <f t="shared" si="2"/>
        <v/>
      </c>
    </row>
    <row r="35" spans="1:9" s="93" customFormat="1" ht="16.5">
      <c r="A35" s="91"/>
      <c r="B35" s="92"/>
      <c r="C35" s="93" t="str">
        <f t="shared" si="0"/>
        <v/>
      </c>
      <c r="D35" s="94"/>
      <c r="E35" s="95"/>
      <c r="F35" s="93" t="str">
        <f t="shared" si="1"/>
        <v/>
      </c>
      <c r="G35" s="94"/>
      <c r="H35" s="95"/>
      <c r="I35" s="93" t="str">
        <f t="shared" si="2"/>
        <v/>
      </c>
    </row>
    <row r="36" spans="1:9" s="93" customFormat="1" ht="16.5">
      <c r="A36" s="91"/>
      <c r="B36" s="92"/>
      <c r="C36" s="93" t="str">
        <f t="shared" si="0"/>
        <v/>
      </c>
      <c r="D36" s="94"/>
      <c r="E36" s="95"/>
      <c r="F36" s="93" t="str">
        <f t="shared" si="1"/>
        <v/>
      </c>
      <c r="G36" s="94"/>
      <c r="H36" s="95"/>
      <c r="I36" s="93" t="str">
        <f t="shared" si="2"/>
        <v/>
      </c>
    </row>
    <row r="37" spans="1:9" s="93" customFormat="1" ht="16.5">
      <c r="A37" s="91"/>
      <c r="B37" s="92"/>
      <c r="C37" s="93" t="str">
        <f t="shared" si="0"/>
        <v/>
      </c>
      <c r="D37" s="94"/>
      <c r="E37" s="95"/>
      <c r="F37" s="93" t="str">
        <f t="shared" si="1"/>
        <v/>
      </c>
      <c r="G37" s="94"/>
      <c r="H37" s="95"/>
      <c r="I37" s="93" t="str">
        <f t="shared" si="2"/>
        <v/>
      </c>
    </row>
    <row r="38" spans="1:9" s="93" customFormat="1" ht="16.5">
      <c r="A38" s="91"/>
      <c r="B38" s="92"/>
      <c r="C38" s="93" t="str">
        <f t="shared" si="0"/>
        <v/>
      </c>
      <c r="D38" s="94"/>
      <c r="E38" s="95"/>
      <c r="F38" s="93" t="str">
        <f t="shared" si="1"/>
        <v/>
      </c>
      <c r="G38" s="94"/>
      <c r="H38" s="95"/>
      <c r="I38" s="93" t="str">
        <f t="shared" si="2"/>
        <v/>
      </c>
    </row>
    <row r="39" spans="1:9" s="93" customFormat="1" ht="16.5">
      <c r="A39" s="91"/>
      <c r="B39" s="92"/>
      <c r="C39" s="93" t="str">
        <f t="shared" si="0"/>
        <v/>
      </c>
      <c r="D39" s="94"/>
      <c r="E39" s="95"/>
      <c r="F39" s="93" t="str">
        <f t="shared" si="1"/>
        <v/>
      </c>
      <c r="G39" s="94"/>
      <c r="H39" s="95"/>
      <c r="I39" s="93" t="str">
        <f t="shared" si="2"/>
        <v/>
      </c>
    </row>
    <row r="40" spans="1:9" s="93" customFormat="1" ht="16.5">
      <c r="A40" s="91"/>
      <c r="B40" s="92"/>
      <c r="C40" s="93" t="str">
        <f t="shared" si="0"/>
        <v/>
      </c>
      <c r="D40" s="94"/>
      <c r="E40" s="95"/>
      <c r="F40" s="93" t="str">
        <f t="shared" si="1"/>
        <v/>
      </c>
      <c r="G40" s="94"/>
      <c r="H40" s="95"/>
      <c r="I40" s="93" t="str">
        <f t="shared" si="2"/>
        <v/>
      </c>
    </row>
    <row r="41" spans="1:9" s="93" customFormat="1" ht="16.5">
      <c r="A41" s="91"/>
      <c r="B41" s="92"/>
      <c r="C41" s="93" t="str">
        <f t="shared" si="0"/>
        <v/>
      </c>
      <c r="D41" s="94"/>
      <c r="E41" s="95"/>
      <c r="F41" s="93" t="str">
        <f t="shared" si="1"/>
        <v/>
      </c>
      <c r="G41" s="94"/>
      <c r="H41" s="95"/>
      <c r="I41" s="93" t="str">
        <f t="shared" si="2"/>
        <v/>
      </c>
    </row>
    <row r="42" spans="1:9" s="93" customFormat="1" ht="16.5">
      <c r="A42" s="91"/>
      <c r="B42" s="92"/>
      <c r="C42" s="93" t="str">
        <f t="shared" si="0"/>
        <v/>
      </c>
      <c r="D42" s="94"/>
      <c r="E42" s="95"/>
      <c r="F42" s="93" t="str">
        <f t="shared" si="1"/>
        <v/>
      </c>
      <c r="G42" s="94"/>
      <c r="H42" s="95"/>
      <c r="I42" s="93" t="str">
        <f t="shared" si="2"/>
        <v/>
      </c>
    </row>
    <row r="43" spans="1:9" s="93" customFormat="1" ht="16.5">
      <c r="A43" s="91"/>
      <c r="B43" s="92"/>
      <c r="C43" s="93" t="str">
        <f t="shared" si="0"/>
        <v/>
      </c>
      <c r="D43" s="94"/>
      <c r="E43" s="95"/>
      <c r="F43" s="93" t="str">
        <f t="shared" si="1"/>
        <v/>
      </c>
      <c r="G43" s="94"/>
      <c r="H43" s="95"/>
      <c r="I43" s="93" t="str">
        <f t="shared" si="2"/>
        <v/>
      </c>
    </row>
    <row r="44" spans="1:9" s="93" customFormat="1" ht="16.5">
      <c r="A44" s="91"/>
      <c r="B44" s="92"/>
      <c r="C44" s="93" t="str">
        <f t="shared" si="0"/>
        <v/>
      </c>
      <c r="D44" s="94"/>
      <c r="E44" s="95"/>
      <c r="F44" s="93" t="str">
        <f t="shared" si="1"/>
        <v/>
      </c>
      <c r="G44" s="94"/>
      <c r="H44" s="95"/>
      <c r="I44" s="93" t="str">
        <f t="shared" si="2"/>
        <v/>
      </c>
    </row>
    <row r="45" spans="1:9" s="93" customFormat="1" ht="16.5">
      <c r="A45" s="91"/>
      <c r="B45" s="92"/>
      <c r="C45" s="93" t="str">
        <f t="shared" si="0"/>
        <v/>
      </c>
      <c r="D45" s="94"/>
      <c r="E45" s="95"/>
      <c r="F45" s="93" t="str">
        <f t="shared" si="1"/>
        <v/>
      </c>
      <c r="G45" s="94"/>
      <c r="H45" s="95"/>
      <c r="I45" s="93" t="str">
        <f t="shared" si="2"/>
        <v/>
      </c>
    </row>
    <row r="46" spans="1:9" s="93" customFormat="1" ht="16.5">
      <c r="A46" s="91"/>
      <c r="B46" s="92"/>
      <c r="C46" s="93" t="str">
        <f t="shared" si="0"/>
        <v/>
      </c>
      <c r="D46" s="94"/>
      <c r="E46" s="95"/>
      <c r="F46" s="93" t="str">
        <f t="shared" si="1"/>
        <v/>
      </c>
      <c r="G46" s="94"/>
      <c r="H46" s="95"/>
      <c r="I46" s="93" t="str">
        <f t="shared" si="2"/>
        <v/>
      </c>
    </row>
    <row r="47" spans="1:9" s="93" customFormat="1" ht="16.5">
      <c r="A47" s="91"/>
      <c r="B47" s="92"/>
      <c r="C47" s="93" t="str">
        <f t="shared" si="0"/>
        <v/>
      </c>
      <c r="D47" s="94"/>
      <c r="E47" s="95"/>
      <c r="F47" s="93" t="str">
        <f t="shared" si="1"/>
        <v/>
      </c>
      <c r="G47" s="94"/>
      <c r="H47" s="95"/>
      <c r="I47" s="93" t="str">
        <f t="shared" si="2"/>
        <v/>
      </c>
    </row>
    <row r="48" spans="1:9" s="93" customFormat="1" ht="16.5">
      <c r="A48" s="91"/>
      <c r="B48" s="92"/>
      <c r="C48" s="93" t="str">
        <f t="shared" si="0"/>
        <v/>
      </c>
      <c r="D48" s="94"/>
      <c r="E48" s="95"/>
      <c r="F48" s="93" t="str">
        <f t="shared" si="1"/>
        <v/>
      </c>
      <c r="G48" s="94"/>
      <c r="H48" s="95"/>
      <c r="I48" s="93" t="str">
        <f t="shared" si="2"/>
        <v/>
      </c>
    </row>
    <row r="49" spans="1:9" s="93" customFormat="1" ht="16.5">
      <c r="A49" s="91"/>
      <c r="B49" s="92"/>
      <c r="C49" s="93" t="str">
        <f t="shared" si="0"/>
        <v/>
      </c>
      <c r="D49" s="94"/>
      <c r="E49" s="95"/>
      <c r="F49" s="93" t="str">
        <f t="shared" si="1"/>
        <v/>
      </c>
      <c r="G49" s="94"/>
      <c r="H49" s="95"/>
      <c r="I49" s="93" t="str">
        <f t="shared" si="2"/>
        <v/>
      </c>
    </row>
    <row r="50" spans="1:9" s="93" customFormat="1" ht="16.5">
      <c r="A50" s="91"/>
      <c r="B50" s="92"/>
      <c r="C50" s="93" t="str">
        <f t="shared" si="0"/>
        <v/>
      </c>
      <c r="D50" s="94"/>
      <c r="E50" s="95"/>
      <c r="F50" s="93" t="str">
        <f t="shared" si="1"/>
        <v/>
      </c>
      <c r="G50" s="94"/>
      <c r="H50" s="95"/>
      <c r="I50" s="93" t="str">
        <f t="shared" si="2"/>
        <v/>
      </c>
    </row>
    <row r="51" spans="1:9" s="93" customFormat="1" ht="16.5">
      <c r="A51" s="91"/>
      <c r="B51" s="92"/>
      <c r="C51" s="93" t="str">
        <f t="shared" si="0"/>
        <v/>
      </c>
      <c r="D51" s="94"/>
      <c r="E51" s="95"/>
      <c r="F51" s="93" t="str">
        <f t="shared" si="1"/>
        <v/>
      </c>
      <c r="G51" s="94"/>
      <c r="H51" s="95"/>
      <c r="I51" s="93" t="str">
        <f t="shared" si="2"/>
        <v/>
      </c>
    </row>
    <row r="52" spans="1:9" s="93" customFormat="1" ht="16.5">
      <c r="A52" s="91"/>
      <c r="B52" s="92"/>
      <c r="C52" s="93" t="str">
        <f t="shared" si="0"/>
        <v/>
      </c>
      <c r="D52" s="94"/>
      <c r="E52" s="95"/>
      <c r="F52" s="93" t="str">
        <f t="shared" si="1"/>
        <v/>
      </c>
      <c r="G52" s="94"/>
      <c r="H52" s="95"/>
      <c r="I52" s="93" t="str">
        <f t="shared" si="2"/>
        <v/>
      </c>
    </row>
    <row r="53" spans="1:9" s="93" customFormat="1" ht="16.5">
      <c r="A53" s="91"/>
      <c r="B53" s="92"/>
      <c r="C53" s="93" t="str">
        <f t="shared" si="0"/>
        <v/>
      </c>
      <c r="D53" s="94"/>
      <c r="E53" s="95"/>
      <c r="F53" s="93" t="str">
        <f t="shared" si="1"/>
        <v/>
      </c>
      <c r="G53" s="94"/>
      <c r="H53" s="95"/>
      <c r="I53" s="93" t="str">
        <f t="shared" si="2"/>
        <v/>
      </c>
    </row>
    <row r="54" spans="1:9" s="93" customFormat="1" ht="16.5">
      <c r="A54" s="91"/>
      <c r="B54" s="92"/>
      <c r="C54" s="93" t="str">
        <f t="shared" si="0"/>
        <v/>
      </c>
      <c r="D54" s="94"/>
      <c r="E54" s="95"/>
      <c r="F54" s="93" t="str">
        <f t="shared" si="1"/>
        <v/>
      </c>
      <c r="G54" s="94"/>
      <c r="H54" s="95"/>
      <c r="I54" s="93" t="str">
        <f t="shared" si="2"/>
        <v/>
      </c>
    </row>
    <row r="55" spans="1:9" s="93" customFormat="1" ht="16.5">
      <c r="A55" s="91"/>
      <c r="B55" s="92"/>
      <c r="C55" s="93" t="str">
        <f t="shared" si="0"/>
        <v/>
      </c>
      <c r="D55" s="94"/>
      <c r="E55" s="95"/>
      <c r="F55" s="93" t="str">
        <f t="shared" si="1"/>
        <v/>
      </c>
      <c r="G55" s="94"/>
      <c r="H55" s="95"/>
      <c r="I55" s="93" t="str">
        <f t="shared" si="2"/>
        <v/>
      </c>
    </row>
    <row r="56" spans="1:9" s="93" customFormat="1" ht="16.5">
      <c r="A56" s="91"/>
      <c r="B56" s="92"/>
      <c r="C56" s="93" t="str">
        <f t="shared" si="0"/>
        <v/>
      </c>
      <c r="D56" s="94"/>
      <c r="E56" s="95"/>
      <c r="F56" s="93" t="str">
        <f t="shared" si="1"/>
        <v/>
      </c>
      <c r="G56" s="94"/>
      <c r="H56" s="95"/>
      <c r="I56" s="93" t="str">
        <f t="shared" si="2"/>
        <v/>
      </c>
    </row>
    <row r="57" spans="1:9" s="93" customFormat="1" ht="16.5">
      <c r="A57" s="91"/>
      <c r="B57" s="92"/>
      <c r="C57" s="93" t="str">
        <f t="shared" ref="C57:C120" si="3">IF(B57&gt;0,TEXT(B57,"(aaa)"),"")</f>
        <v/>
      </c>
      <c r="D57" s="94"/>
      <c r="E57" s="95"/>
      <c r="F57" s="93" t="str">
        <f t="shared" ref="F57:F120" si="4">IF(E57&gt;0,TEXT(E57,"(aaa)"),"")</f>
        <v/>
      </c>
      <c r="G57" s="94"/>
      <c r="H57" s="95"/>
      <c r="I57" s="93" t="str">
        <f t="shared" ref="I57:I120" si="5">IF(H57&gt;0,TEXT(H57,"(aaa)"),"")</f>
        <v/>
      </c>
    </row>
    <row r="58" spans="1:9" s="93" customFormat="1" ht="16.5">
      <c r="A58" s="91"/>
      <c r="B58" s="92"/>
      <c r="C58" s="93" t="str">
        <f t="shared" si="3"/>
        <v/>
      </c>
      <c r="D58" s="94"/>
      <c r="E58" s="95"/>
      <c r="F58" s="93" t="str">
        <f t="shared" si="4"/>
        <v/>
      </c>
      <c r="G58" s="94"/>
      <c r="H58" s="95"/>
      <c r="I58" s="93" t="str">
        <f t="shared" si="5"/>
        <v/>
      </c>
    </row>
    <row r="59" spans="1:9" s="93" customFormat="1" ht="16.5">
      <c r="A59" s="91"/>
      <c r="B59" s="92"/>
      <c r="C59" s="93" t="str">
        <f t="shared" si="3"/>
        <v/>
      </c>
      <c r="D59" s="94"/>
      <c r="E59" s="95"/>
      <c r="F59" s="93" t="str">
        <f t="shared" si="4"/>
        <v/>
      </c>
      <c r="G59" s="94"/>
      <c r="H59" s="95"/>
      <c r="I59" s="93" t="str">
        <f t="shared" si="5"/>
        <v/>
      </c>
    </row>
    <row r="60" spans="1:9" s="93" customFormat="1" ht="16.5">
      <c r="A60" s="91"/>
      <c r="B60" s="92"/>
      <c r="C60" s="93" t="str">
        <f t="shared" si="3"/>
        <v/>
      </c>
      <c r="D60" s="94"/>
      <c r="E60" s="95"/>
      <c r="F60" s="93" t="str">
        <f t="shared" si="4"/>
        <v/>
      </c>
      <c r="G60" s="94"/>
      <c r="H60" s="95"/>
      <c r="I60" s="93" t="str">
        <f t="shared" si="5"/>
        <v/>
      </c>
    </row>
    <row r="61" spans="1:9" s="93" customFormat="1" ht="16.5">
      <c r="A61" s="91"/>
      <c r="B61" s="92"/>
      <c r="C61" s="93" t="str">
        <f t="shared" si="3"/>
        <v/>
      </c>
      <c r="D61" s="94"/>
      <c r="E61" s="95"/>
      <c r="F61" s="93" t="str">
        <f t="shared" si="4"/>
        <v/>
      </c>
      <c r="G61" s="94"/>
      <c r="H61" s="95"/>
      <c r="I61" s="93" t="str">
        <f t="shared" si="5"/>
        <v/>
      </c>
    </row>
    <row r="62" spans="1:9" s="93" customFormat="1" ht="16.5">
      <c r="A62" s="91"/>
      <c r="B62" s="92"/>
      <c r="C62" s="93" t="str">
        <f t="shared" si="3"/>
        <v/>
      </c>
      <c r="D62" s="94"/>
      <c r="E62" s="95"/>
      <c r="F62" s="93" t="str">
        <f t="shared" si="4"/>
        <v/>
      </c>
      <c r="G62" s="94"/>
      <c r="H62" s="95"/>
      <c r="I62" s="93" t="str">
        <f t="shared" si="5"/>
        <v/>
      </c>
    </row>
    <row r="63" spans="1:9" s="93" customFormat="1" ht="16.5">
      <c r="A63" s="91"/>
      <c r="B63" s="92"/>
      <c r="C63" s="93" t="str">
        <f t="shared" si="3"/>
        <v/>
      </c>
      <c r="D63" s="94"/>
      <c r="E63" s="95"/>
      <c r="F63" s="93" t="str">
        <f t="shared" si="4"/>
        <v/>
      </c>
      <c r="G63" s="94"/>
      <c r="H63" s="95"/>
      <c r="I63" s="93" t="str">
        <f t="shared" si="5"/>
        <v/>
      </c>
    </row>
    <row r="64" spans="1:9" s="93" customFormat="1" ht="16.5">
      <c r="A64" s="91"/>
      <c r="B64" s="92"/>
      <c r="C64" s="93" t="str">
        <f t="shared" si="3"/>
        <v/>
      </c>
      <c r="D64" s="94"/>
      <c r="E64" s="95"/>
      <c r="F64" s="93" t="str">
        <f t="shared" si="4"/>
        <v/>
      </c>
      <c r="G64" s="94"/>
      <c r="H64" s="95"/>
      <c r="I64" s="93" t="str">
        <f t="shared" si="5"/>
        <v/>
      </c>
    </row>
    <row r="65" spans="1:9" s="93" customFormat="1" ht="16.5">
      <c r="A65" s="91"/>
      <c r="B65" s="92"/>
      <c r="C65" s="93" t="str">
        <f t="shared" si="3"/>
        <v/>
      </c>
      <c r="D65" s="94"/>
      <c r="E65" s="95"/>
      <c r="F65" s="93" t="str">
        <f t="shared" si="4"/>
        <v/>
      </c>
      <c r="G65" s="94"/>
      <c r="H65" s="95"/>
      <c r="I65" s="93" t="str">
        <f t="shared" si="5"/>
        <v/>
      </c>
    </row>
    <row r="66" spans="1:9" s="93" customFormat="1" ht="16.5">
      <c r="A66" s="91"/>
      <c r="B66" s="92"/>
      <c r="C66" s="93" t="str">
        <f t="shared" si="3"/>
        <v/>
      </c>
      <c r="D66" s="94"/>
      <c r="E66" s="95"/>
      <c r="F66" s="93" t="str">
        <f t="shared" si="4"/>
        <v/>
      </c>
      <c r="G66" s="94"/>
      <c r="H66" s="95"/>
      <c r="I66" s="93" t="str">
        <f t="shared" si="5"/>
        <v/>
      </c>
    </row>
    <row r="67" spans="1:9" s="93" customFormat="1" ht="16.5">
      <c r="A67" s="91"/>
      <c r="B67" s="92"/>
      <c r="C67" s="93" t="str">
        <f t="shared" si="3"/>
        <v/>
      </c>
      <c r="D67" s="94"/>
      <c r="E67" s="95"/>
      <c r="F67" s="93" t="str">
        <f t="shared" si="4"/>
        <v/>
      </c>
      <c r="G67" s="94"/>
      <c r="H67" s="95"/>
      <c r="I67" s="93" t="str">
        <f t="shared" si="5"/>
        <v/>
      </c>
    </row>
    <row r="68" spans="1:9" s="93" customFormat="1" ht="16.5">
      <c r="A68" s="91"/>
      <c r="B68" s="92"/>
      <c r="C68" s="93" t="str">
        <f t="shared" si="3"/>
        <v/>
      </c>
      <c r="D68" s="94"/>
      <c r="E68" s="95"/>
      <c r="F68" s="93" t="str">
        <f t="shared" si="4"/>
        <v/>
      </c>
      <c r="G68" s="94"/>
      <c r="H68" s="95"/>
      <c r="I68" s="93" t="str">
        <f t="shared" si="5"/>
        <v/>
      </c>
    </row>
    <row r="69" spans="1:9" s="93" customFormat="1" ht="16.5">
      <c r="A69" s="91"/>
      <c r="B69" s="92"/>
      <c r="C69" s="93" t="str">
        <f t="shared" si="3"/>
        <v/>
      </c>
      <c r="D69" s="94"/>
      <c r="E69" s="95"/>
      <c r="F69" s="93" t="str">
        <f t="shared" si="4"/>
        <v/>
      </c>
      <c r="G69" s="94"/>
      <c r="H69" s="95"/>
      <c r="I69" s="93" t="str">
        <f t="shared" si="5"/>
        <v/>
      </c>
    </row>
    <row r="70" spans="1:9" s="93" customFormat="1" ht="16.5">
      <c r="A70" s="91"/>
      <c r="B70" s="92"/>
      <c r="C70" s="93" t="str">
        <f t="shared" si="3"/>
        <v/>
      </c>
      <c r="D70" s="94"/>
      <c r="E70" s="95"/>
      <c r="F70" s="93" t="str">
        <f t="shared" si="4"/>
        <v/>
      </c>
      <c r="G70" s="94"/>
      <c r="H70" s="95"/>
      <c r="I70" s="93" t="str">
        <f t="shared" si="5"/>
        <v/>
      </c>
    </row>
    <row r="71" spans="1:9" s="93" customFormat="1" ht="16.5">
      <c r="A71" s="91"/>
      <c r="B71" s="92"/>
      <c r="C71" s="93" t="str">
        <f t="shared" si="3"/>
        <v/>
      </c>
      <c r="D71" s="94"/>
      <c r="E71" s="95"/>
      <c r="F71" s="93" t="str">
        <f t="shared" si="4"/>
        <v/>
      </c>
      <c r="G71" s="94"/>
      <c r="H71" s="95"/>
      <c r="I71" s="93" t="str">
        <f t="shared" si="5"/>
        <v/>
      </c>
    </row>
    <row r="72" spans="1:9" s="93" customFormat="1" ht="16.5">
      <c r="A72" s="91"/>
      <c r="B72" s="92"/>
      <c r="C72" s="93" t="str">
        <f t="shared" si="3"/>
        <v/>
      </c>
      <c r="D72" s="94"/>
      <c r="E72" s="95"/>
      <c r="F72" s="93" t="str">
        <f t="shared" si="4"/>
        <v/>
      </c>
      <c r="G72" s="94"/>
      <c r="H72" s="95"/>
      <c r="I72" s="93" t="str">
        <f t="shared" si="5"/>
        <v/>
      </c>
    </row>
    <row r="73" spans="1:9" s="93" customFormat="1" ht="16.5">
      <c r="A73" s="91"/>
      <c r="B73" s="92"/>
      <c r="C73" s="93" t="str">
        <f t="shared" si="3"/>
        <v/>
      </c>
      <c r="D73" s="94"/>
      <c r="E73" s="95"/>
      <c r="F73" s="93" t="str">
        <f t="shared" si="4"/>
        <v/>
      </c>
      <c r="G73" s="94"/>
      <c r="H73" s="95"/>
      <c r="I73" s="93" t="str">
        <f t="shared" si="5"/>
        <v/>
      </c>
    </row>
    <row r="74" spans="1:9" s="93" customFormat="1" ht="16.5">
      <c r="A74" s="91"/>
      <c r="B74" s="92"/>
      <c r="C74" s="93" t="str">
        <f t="shared" si="3"/>
        <v/>
      </c>
      <c r="D74" s="94"/>
      <c r="E74" s="95"/>
      <c r="F74" s="93" t="str">
        <f t="shared" si="4"/>
        <v/>
      </c>
      <c r="G74" s="94"/>
      <c r="H74" s="95"/>
      <c r="I74" s="93" t="str">
        <f t="shared" si="5"/>
        <v/>
      </c>
    </row>
    <row r="75" spans="1:9" s="93" customFormat="1" ht="16.5">
      <c r="A75" s="91"/>
      <c r="B75" s="92"/>
      <c r="C75" s="93" t="str">
        <f t="shared" si="3"/>
        <v/>
      </c>
      <c r="D75" s="94"/>
      <c r="E75" s="95"/>
      <c r="F75" s="93" t="str">
        <f t="shared" si="4"/>
        <v/>
      </c>
      <c r="G75" s="94"/>
      <c r="H75" s="95"/>
      <c r="I75" s="93" t="str">
        <f t="shared" si="5"/>
        <v/>
      </c>
    </row>
    <row r="76" spans="1:9" s="93" customFormat="1" ht="16.5">
      <c r="A76" s="91"/>
      <c r="B76" s="92"/>
      <c r="C76" s="93" t="str">
        <f t="shared" si="3"/>
        <v/>
      </c>
      <c r="D76" s="94"/>
      <c r="E76" s="95"/>
      <c r="F76" s="93" t="str">
        <f t="shared" si="4"/>
        <v/>
      </c>
      <c r="G76" s="94"/>
      <c r="H76" s="95"/>
      <c r="I76" s="93" t="str">
        <f t="shared" si="5"/>
        <v/>
      </c>
    </row>
    <row r="77" spans="1:9" s="93" customFormat="1" ht="16.5">
      <c r="A77" s="91"/>
      <c r="B77" s="92"/>
      <c r="C77" s="93" t="str">
        <f t="shared" si="3"/>
        <v/>
      </c>
      <c r="D77" s="94"/>
      <c r="E77" s="95"/>
      <c r="F77" s="93" t="str">
        <f t="shared" si="4"/>
        <v/>
      </c>
      <c r="G77" s="94"/>
      <c r="H77" s="95"/>
      <c r="I77" s="93" t="str">
        <f t="shared" si="5"/>
        <v/>
      </c>
    </row>
    <row r="78" spans="1:9" s="93" customFormat="1" ht="16.5">
      <c r="A78" s="91"/>
      <c r="B78" s="92"/>
      <c r="C78" s="93" t="str">
        <f t="shared" si="3"/>
        <v/>
      </c>
      <c r="D78" s="94"/>
      <c r="E78" s="95"/>
      <c r="F78" s="93" t="str">
        <f t="shared" si="4"/>
        <v/>
      </c>
      <c r="G78" s="94"/>
      <c r="H78" s="95"/>
      <c r="I78" s="93" t="str">
        <f t="shared" si="5"/>
        <v/>
      </c>
    </row>
    <row r="79" spans="1:9" s="93" customFormat="1" ht="16.5">
      <c r="A79" s="91"/>
      <c r="B79" s="92"/>
      <c r="C79" s="93" t="str">
        <f t="shared" si="3"/>
        <v/>
      </c>
      <c r="D79" s="94"/>
      <c r="E79" s="95"/>
      <c r="F79" s="93" t="str">
        <f t="shared" si="4"/>
        <v/>
      </c>
      <c r="G79" s="94"/>
      <c r="H79" s="95"/>
      <c r="I79" s="93" t="str">
        <f t="shared" si="5"/>
        <v/>
      </c>
    </row>
    <row r="80" spans="1:9" s="93" customFormat="1" ht="16.5">
      <c r="A80" s="91"/>
      <c r="B80" s="92"/>
      <c r="C80" s="93" t="str">
        <f t="shared" si="3"/>
        <v/>
      </c>
      <c r="D80" s="94"/>
      <c r="E80" s="95"/>
      <c r="F80" s="93" t="str">
        <f t="shared" si="4"/>
        <v/>
      </c>
      <c r="G80" s="94"/>
      <c r="H80" s="95"/>
      <c r="I80" s="93" t="str">
        <f t="shared" si="5"/>
        <v/>
      </c>
    </row>
    <row r="81" spans="1:9" s="93" customFormat="1" ht="16.5">
      <c r="A81" s="91"/>
      <c r="B81" s="92"/>
      <c r="C81" s="93" t="str">
        <f t="shared" si="3"/>
        <v/>
      </c>
      <c r="D81" s="94"/>
      <c r="E81" s="95"/>
      <c r="F81" s="93" t="str">
        <f t="shared" si="4"/>
        <v/>
      </c>
      <c r="G81" s="94"/>
      <c r="H81" s="95"/>
      <c r="I81" s="93" t="str">
        <f t="shared" si="5"/>
        <v/>
      </c>
    </row>
    <row r="82" spans="1:9" s="93" customFormat="1" ht="16.5">
      <c r="A82" s="91"/>
      <c r="B82" s="92"/>
      <c r="C82" s="93" t="str">
        <f t="shared" si="3"/>
        <v/>
      </c>
      <c r="D82" s="94"/>
      <c r="E82" s="95"/>
      <c r="F82" s="93" t="str">
        <f t="shared" si="4"/>
        <v/>
      </c>
      <c r="G82" s="94"/>
      <c r="H82" s="95"/>
      <c r="I82" s="93" t="str">
        <f t="shared" si="5"/>
        <v/>
      </c>
    </row>
    <row r="83" spans="1:9" s="93" customFormat="1" ht="16.5">
      <c r="A83" s="91"/>
      <c r="B83" s="92"/>
      <c r="C83" s="93" t="str">
        <f t="shared" si="3"/>
        <v/>
      </c>
      <c r="D83" s="94"/>
      <c r="E83" s="95"/>
      <c r="F83" s="93" t="str">
        <f t="shared" si="4"/>
        <v/>
      </c>
      <c r="G83" s="94"/>
      <c r="H83" s="95"/>
      <c r="I83" s="93" t="str">
        <f t="shared" si="5"/>
        <v/>
      </c>
    </row>
    <row r="84" spans="1:9" s="93" customFormat="1" ht="16.5">
      <c r="A84" s="91"/>
      <c r="B84" s="92"/>
      <c r="C84" s="93" t="str">
        <f t="shared" si="3"/>
        <v/>
      </c>
      <c r="D84" s="94"/>
      <c r="E84" s="95"/>
      <c r="F84" s="93" t="str">
        <f t="shared" si="4"/>
        <v/>
      </c>
      <c r="G84" s="94"/>
      <c r="H84" s="95"/>
      <c r="I84" s="93" t="str">
        <f t="shared" si="5"/>
        <v/>
      </c>
    </row>
    <row r="85" spans="1:9" s="93" customFormat="1" ht="16.5">
      <c r="A85" s="91"/>
      <c r="B85" s="92"/>
      <c r="C85" s="93" t="str">
        <f t="shared" si="3"/>
        <v/>
      </c>
      <c r="D85" s="94"/>
      <c r="E85" s="95"/>
      <c r="F85" s="93" t="str">
        <f t="shared" si="4"/>
        <v/>
      </c>
      <c r="G85" s="94"/>
      <c r="H85" s="95"/>
      <c r="I85" s="93" t="str">
        <f t="shared" si="5"/>
        <v/>
      </c>
    </row>
    <row r="86" spans="1:9" s="93" customFormat="1" ht="16.5">
      <c r="A86" s="91"/>
      <c r="B86" s="92"/>
      <c r="C86" s="93" t="str">
        <f t="shared" si="3"/>
        <v/>
      </c>
      <c r="D86" s="94"/>
      <c r="E86" s="95"/>
      <c r="F86" s="93" t="str">
        <f t="shared" si="4"/>
        <v/>
      </c>
      <c r="G86" s="94"/>
      <c r="H86" s="95"/>
      <c r="I86" s="93" t="str">
        <f t="shared" si="5"/>
        <v/>
      </c>
    </row>
    <row r="87" spans="1:9" s="93" customFormat="1" ht="16.5">
      <c r="A87" s="91"/>
      <c r="B87" s="92"/>
      <c r="C87" s="93" t="str">
        <f t="shared" si="3"/>
        <v/>
      </c>
      <c r="D87" s="94"/>
      <c r="E87" s="95"/>
      <c r="F87" s="93" t="str">
        <f t="shared" si="4"/>
        <v/>
      </c>
      <c r="G87" s="94"/>
      <c r="H87" s="95"/>
      <c r="I87" s="93" t="str">
        <f t="shared" si="5"/>
        <v/>
      </c>
    </row>
    <row r="88" spans="1:9" s="93" customFormat="1" ht="16.5">
      <c r="A88" s="91"/>
      <c r="B88" s="92"/>
      <c r="C88" s="93" t="str">
        <f t="shared" si="3"/>
        <v/>
      </c>
      <c r="D88" s="94"/>
      <c r="E88" s="95"/>
      <c r="F88" s="93" t="str">
        <f t="shared" si="4"/>
        <v/>
      </c>
      <c r="G88" s="94"/>
      <c r="H88" s="95"/>
      <c r="I88" s="93" t="str">
        <f t="shared" si="5"/>
        <v/>
      </c>
    </row>
    <row r="89" spans="1:9" s="93" customFormat="1" ht="16.5">
      <c r="A89" s="91"/>
      <c r="B89" s="92"/>
      <c r="C89" s="93" t="str">
        <f t="shared" si="3"/>
        <v/>
      </c>
      <c r="D89" s="94"/>
      <c r="E89" s="95"/>
      <c r="F89" s="93" t="str">
        <f t="shared" si="4"/>
        <v/>
      </c>
      <c r="G89" s="94"/>
      <c r="H89" s="95"/>
      <c r="I89" s="93" t="str">
        <f t="shared" si="5"/>
        <v/>
      </c>
    </row>
    <row r="90" spans="1:9" s="93" customFormat="1" ht="16.5">
      <c r="A90" s="91"/>
      <c r="B90" s="92"/>
      <c r="C90" s="93" t="str">
        <f t="shared" si="3"/>
        <v/>
      </c>
      <c r="D90" s="94"/>
      <c r="E90" s="95"/>
      <c r="F90" s="93" t="str">
        <f t="shared" si="4"/>
        <v/>
      </c>
      <c r="G90" s="94"/>
      <c r="H90" s="95"/>
      <c r="I90" s="93" t="str">
        <f t="shared" si="5"/>
        <v/>
      </c>
    </row>
    <row r="91" spans="1:9" s="93" customFormat="1" ht="16.5">
      <c r="A91" s="91"/>
      <c r="B91" s="92"/>
      <c r="C91" s="93" t="str">
        <f t="shared" si="3"/>
        <v/>
      </c>
      <c r="D91" s="94"/>
      <c r="E91" s="95"/>
      <c r="F91" s="93" t="str">
        <f t="shared" si="4"/>
        <v/>
      </c>
      <c r="G91" s="94"/>
      <c r="H91" s="95"/>
      <c r="I91" s="93" t="str">
        <f t="shared" si="5"/>
        <v/>
      </c>
    </row>
    <row r="92" spans="1:9" s="93" customFormat="1" ht="16.5">
      <c r="A92" s="91"/>
      <c r="B92" s="92"/>
      <c r="C92" s="93" t="str">
        <f t="shared" si="3"/>
        <v/>
      </c>
      <c r="D92" s="94"/>
      <c r="E92" s="95"/>
      <c r="F92" s="93" t="str">
        <f t="shared" si="4"/>
        <v/>
      </c>
      <c r="G92" s="94"/>
      <c r="H92" s="95"/>
      <c r="I92" s="93" t="str">
        <f t="shared" si="5"/>
        <v/>
      </c>
    </row>
    <row r="93" spans="1:9" s="93" customFormat="1" ht="16.5">
      <c r="A93" s="91"/>
      <c r="B93" s="92"/>
      <c r="C93" s="93" t="str">
        <f t="shared" si="3"/>
        <v/>
      </c>
      <c r="D93" s="94"/>
      <c r="E93" s="95"/>
      <c r="F93" s="93" t="str">
        <f t="shared" si="4"/>
        <v/>
      </c>
      <c r="G93" s="94"/>
      <c r="H93" s="95"/>
      <c r="I93" s="93" t="str">
        <f t="shared" si="5"/>
        <v/>
      </c>
    </row>
    <row r="94" spans="1:9" s="93" customFormat="1" ht="16.5">
      <c r="A94" s="91"/>
      <c r="B94" s="92"/>
      <c r="C94" s="93" t="str">
        <f t="shared" si="3"/>
        <v/>
      </c>
      <c r="D94" s="94"/>
      <c r="E94" s="95"/>
      <c r="F94" s="93" t="str">
        <f t="shared" si="4"/>
        <v/>
      </c>
      <c r="G94" s="94"/>
      <c r="H94" s="95"/>
      <c r="I94" s="93" t="str">
        <f t="shared" si="5"/>
        <v/>
      </c>
    </row>
    <row r="95" spans="1:9" s="93" customFormat="1" ht="16.5">
      <c r="A95" s="91"/>
      <c r="B95" s="92"/>
      <c r="C95" s="93" t="str">
        <f t="shared" si="3"/>
        <v/>
      </c>
      <c r="D95" s="94"/>
      <c r="E95" s="95"/>
      <c r="F95" s="93" t="str">
        <f t="shared" si="4"/>
        <v/>
      </c>
      <c r="G95" s="94"/>
      <c r="H95" s="95"/>
      <c r="I95" s="93" t="str">
        <f t="shared" si="5"/>
        <v/>
      </c>
    </row>
    <row r="96" spans="1:9" s="93" customFormat="1" ht="16.5">
      <c r="A96" s="91"/>
      <c r="B96" s="92"/>
      <c r="C96" s="93" t="str">
        <f t="shared" si="3"/>
        <v/>
      </c>
      <c r="D96" s="94"/>
      <c r="E96" s="95"/>
      <c r="F96" s="93" t="str">
        <f t="shared" si="4"/>
        <v/>
      </c>
      <c r="G96" s="94"/>
      <c r="H96" s="95"/>
      <c r="I96" s="93" t="str">
        <f t="shared" si="5"/>
        <v/>
      </c>
    </row>
    <row r="97" spans="1:9" s="93" customFormat="1" ht="16.5">
      <c r="A97" s="91"/>
      <c r="B97" s="92"/>
      <c r="C97" s="93" t="str">
        <f t="shared" si="3"/>
        <v/>
      </c>
      <c r="D97" s="94"/>
      <c r="E97" s="95"/>
      <c r="F97" s="93" t="str">
        <f t="shared" si="4"/>
        <v/>
      </c>
      <c r="G97" s="94"/>
      <c r="H97" s="95"/>
      <c r="I97" s="93" t="str">
        <f t="shared" si="5"/>
        <v/>
      </c>
    </row>
    <row r="98" spans="1:9" s="93" customFormat="1" ht="16.5">
      <c r="A98" s="91"/>
      <c r="B98" s="92"/>
      <c r="C98" s="93" t="str">
        <f t="shared" si="3"/>
        <v/>
      </c>
      <c r="D98" s="94"/>
      <c r="E98" s="95"/>
      <c r="F98" s="93" t="str">
        <f t="shared" si="4"/>
        <v/>
      </c>
      <c r="G98" s="94"/>
      <c r="H98" s="95"/>
      <c r="I98" s="93" t="str">
        <f t="shared" si="5"/>
        <v/>
      </c>
    </row>
    <row r="99" spans="1:9" s="93" customFormat="1" ht="16.5">
      <c r="A99" s="91"/>
      <c r="B99" s="92"/>
      <c r="C99" s="93" t="str">
        <f t="shared" si="3"/>
        <v/>
      </c>
      <c r="D99" s="94"/>
      <c r="E99" s="95"/>
      <c r="F99" s="93" t="str">
        <f t="shared" si="4"/>
        <v/>
      </c>
      <c r="G99" s="94"/>
      <c r="H99" s="95"/>
      <c r="I99" s="93" t="str">
        <f t="shared" si="5"/>
        <v/>
      </c>
    </row>
    <row r="100" spans="1:9" s="93" customFormat="1" ht="16.5">
      <c r="A100" s="91"/>
      <c r="B100" s="92"/>
      <c r="C100" s="93" t="str">
        <f t="shared" si="3"/>
        <v/>
      </c>
      <c r="D100" s="94"/>
      <c r="E100" s="95"/>
      <c r="F100" s="93" t="str">
        <f t="shared" si="4"/>
        <v/>
      </c>
      <c r="G100" s="94"/>
      <c r="H100" s="95"/>
      <c r="I100" s="93" t="str">
        <f t="shared" si="5"/>
        <v/>
      </c>
    </row>
    <row r="101" spans="1:9" s="93" customFormat="1" ht="16.5">
      <c r="A101" s="91"/>
      <c r="B101" s="92"/>
      <c r="C101" s="93" t="str">
        <f t="shared" si="3"/>
        <v/>
      </c>
      <c r="D101" s="94"/>
      <c r="E101" s="95"/>
      <c r="F101" s="93" t="str">
        <f t="shared" si="4"/>
        <v/>
      </c>
      <c r="G101" s="94"/>
      <c r="H101" s="95"/>
      <c r="I101" s="93" t="str">
        <f t="shared" si="5"/>
        <v/>
      </c>
    </row>
    <row r="102" spans="1:9" s="93" customFormat="1" ht="16.5">
      <c r="A102" s="91"/>
      <c r="B102" s="92"/>
      <c r="C102" s="93" t="str">
        <f t="shared" si="3"/>
        <v/>
      </c>
      <c r="D102" s="94"/>
      <c r="E102" s="95"/>
      <c r="F102" s="93" t="str">
        <f t="shared" si="4"/>
        <v/>
      </c>
      <c r="G102" s="94"/>
      <c r="H102" s="95"/>
      <c r="I102" s="93" t="str">
        <f t="shared" si="5"/>
        <v/>
      </c>
    </row>
    <row r="103" spans="1:9" s="93" customFormat="1" ht="16.5">
      <c r="A103" s="91"/>
      <c r="B103" s="92"/>
      <c r="C103" s="93" t="str">
        <f t="shared" si="3"/>
        <v/>
      </c>
      <c r="D103" s="94"/>
      <c r="E103" s="95"/>
      <c r="F103" s="93" t="str">
        <f t="shared" si="4"/>
        <v/>
      </c>
      <c r="G103" s="94"/>
      <c r="H103" s="95"/>
      <c r="I103" s="93" t="str">
        <f t="shared" si="5"/>
        <v/>
      </c>
    </row>
    <row r="104" spans="1:9" s="93" customFormat="1" ht="16.5">
      <c r="A104" s="91"/>
      <c r="B104" s="92"/>
      <c r="C104" s="93" t="str">
        <f t="shared" si="3"/>
        <v/>
      </c>
      <c r="D104" s="94"/>
      <c r="E104" s="95"/>
      <c r="F104" s="93" t="str">
        <f t="shared" si="4"/>
        <v/>
      </c>
      <c r="G104" s="94"/>
      <c r="H104" s="95"/>
      <c r="I104" s="93" t="str">
        <f t="shared" si="5"/>
        <v/>
      </c>
    </row>
    <row r="105" spans="1:9" s="93" customFormat="1" ht="16.5">
      <c r="A105" s="91"/>
      <c r="B105" s="92"/>
      <c r="C105" s="93" t="str">
        <f t="shared" si="3"/>
        <v/>
      </c>
      <c r="D105" s="94"/>
      <c r="E105" s="95"/>
      <c r="F105" s="93" t="str">
        <f t="shared" si="4"/>
        <v/>
      </c>
      <c r="G105" s="94"/>
      <c r="H105" s="95"/>
      <c r="I105" s="93" t="str">
        <f t="shared" si="5"/>
        <v/>
      </c>
    </row>
    <row r="106" spans="1:9" s="93" customFormat="1" ht="16.5">
      <c r="A106" s="91"/>
      <c r="B106" s="92"/>
      <c r="C106" s="93" t="str">
        <f t="shared" si="3"/>
        <v/>
      </c>
      <c r="D106" s="94"/>
      <c r="E106" s="95"/>
      <c r="F106" s="93" t="str">
        <f t="shared" si="4"/>
        <v/>
      </c>
      <c r="G106" s="94"/>
      <c r="H106" s="95"/>
      <c r="I106" s="93" t="str">
        <f t="shared" si="5"/>
        <v/>
      </c>
    </row>
    <row r="107" spans="1:9" s="93" customFormat="1" ht="16.5">
      <c r="A107" s="91"/>
      <c r="B107" s="92"/>
      <c r="C107" s="93" t="str">
        <f t="shared" si="3"/>
        <v/>
      </c>
      <c r="D107" s="94"/>
      <c r="E107" s="95"/>
      <c r="F107" s="93" t="str">
        <f t="shared" si="4"/>
        <v/>
      </c>
      <c r="G107" s="94"/>
      <c r="H107" s="95"/>
      <c r="I107" s="93" t="str">
        <f t="shared" si="5"/>
        <v/>
      </c>
    </row>
    <row r="108" spans="1:9" s="93" customFormat="1" ht="16.5">
      <c r="A108" s="91"/>
      <c r="B108" s="92"/>
      <c r="C108" s="93" t="str">
        <f t="shared" si="3"/>
        <v/>
      </c>
      <c r="D108" s="94"/>
      <c r="E108" s="95"/>
      <c r="F108" s="93" t="str">
        <f t="shared" si="4"/>
        <v/>
      </c>
      <c r="G108" s="94"/>
      <c r="H108" s="95"/>
      <c r="I108" s="93" t="str">
        <f t="shared" si="5"/>
        <v/>
      </c>
    </row>
    <row r="109" spans="1:9" s="93" customFormat="1" ht="16.5">
      <c r="A109" s="91"/>
      <c r="B109" s="92"/>
      <c r="C109" s="93" t="str">
        <f t="shared" si="3"/>
        <v/>
      </c>
      <c r="D109" s="94"/>
      <c r="E109" s="95"/>
      <c r="F109" s="93" t="str">
        <f t="shared" si="4"/>
        <v/>
      </c>
      <c r="G109" s="94"/>
      <c r="H109" s="95"/>
      <c r="I109" s="93" t="str">
        <f t="shared" si="5"/>
        <v/>
      </c>
    </row>
    <row r="110" spans="1:9" s="93" customFormat="1" ht="16.5">
      <c r="A110" s="91"/>
      <c r="B110" s="92"/>
      <c r="C110" s="93" t="str">
        <f t="shared" si="3"/>
        <v/>
      </c>
      <c r="D110" s="94"/>
      <c r="E110" s="95"/>
      <c r="F110" s="93" t="str">
        <f t="shared" si="4"/>
        <v/>
      </c>
      <c r="G110" s="94"/>
      <c r="H110" s="95"/>
      <c r="I110" s="93" t="str">
        <f t="shared" si="5"/>
        <v/>
      </c>
    </row>
    <row r="111" spans="1:9" s="93" customFormat="1" ht="16.5">
      <c r="A111" s="91"/>
      <c r="B111" s="97"/>
      <c r="C111" s="93" t="str">
        <f t="shared" si="3"/>
        <v/>
      </c>
      <c r="D111" s="94"/>
      <c r="E111" s="95"/>
      <c r="F111" s="93" t="str">
        <f t="shared" si="4"/>
        <v/>
      </c>
      <c r="G111" s="94"/>
      <c r="H111" s="95"/>
      <c r="I111" s="93" t="str">
        <f t="shared" si="5"/>
        <v/>
      </c>
    </row>
    <row r="112" spans="1:9" s="93" customFormat="1" ht="16.5">
      <c r="A112" s="91"/>
      <c r="B112" s="92"/>
      <c r="C112" s="93" t="str">
        <f t="shared" si="3"/>
        <v/>
      </c>
      <c r="D112" s="94"/>
      <c r="E112" s="95"/>
      <c r="F112" s="93" t="str">
        <f t="shared" si="4"/>
        <v/>
      </c>
      <c r="G112" s="94"/>
      <c r="H112" s="95"/>
      <c r="I112" s="93" t="str">
        <f t="shared" si="5"/>
        <v/>
      </c>
    </row>
    <row r="113" spans="1:9" s="93" customFormat="1" ht="16.5">
      <c r="A113" s="91"/>
      <c r="B113" s="92"/>
      <c r="C113" s="93" t="str">
        <f t="shared" si="3"/>
        <v/>
      </c>
      <c r="D113" s="94"/>
      <c r="E113" s="95"/>
      <c r="F113" s="93" t="str">
        <f t="shared" si="4"/>
        <v/>
      </c>
      <c r="G113" s="94"/>
      <c r="H113" s="95"/>
      <c r="I113" s="93" t="str">
        <f t="shared" si="5"/>
        <v/>
      </c>
    </row>
    <row r="114" spans="1:9" s="93" customFormat="1" ht="16.5">
      <c r="A114" s="91"/>
      <c r="B114" s="92"/>
      <c r="C114" s="93" t="str">
        <f t="shared" si="3"/>
        <v/>
      </c>
      <c r="D114" s="94"/>
      <c r="E114" s="95"/>
      <c r="F114" s="93" t="str">
        <f t="shared" si="4"/>
        <v/>
      </c>
      <c r="G114" s="94"/>
      <c r="H114" s="95"/>
      <c r="I114" s="93" t="str">
        <f t="shared" si="5"/>
        <v/>
      </c>
    </row>
    <row r="115" spans="1:9" s="93" customFormat="1" ht="16.5">
      <c r="A115" s="91"/>
      <c r="B115" s="92"/>
      <c r="C115" s="93" t="str">
        <f t="shared" si="3"/>
        <v/>
      </c>
      <c r="D115" s="94"/>
      <c r="E115" s="95"/>
      <c r="F115" s="93" t="str">
        <f t="shared" si="4"/>
        <v/>
      </c>
      <c r="G115" s="94"/>
      <c r="H115" s="95"/>
      <c r="I115" s="93" t="str">
        <f t="shared" si="5"/>
        <v/>
      </c>
    </row>
    <row r="116" spans="1:9" s="93" customFormat="1" ht="16.5">
      <c r="A116" s="91"/>
      <c r="B116" s="92"/>
      <c r="C116" s="93" t="str">
        <f t="shared" si="3"/>
        <v/>
      </c>
      <c r="D116" s="94"/>
      <c r="E116" s="95"/>
      <c r="F116" s="93" t="str">
        <f t="shared" si="4"/>
        <v/>
      </c>
      <c r="G116" s="94"/>
      <c r="H116" s="95"/>
      <c r="I116" s="93" t="str">
        <f t="shared" si="5"/>
        <v/>
      </c>
    </row>
    <row r="117" spans="1:9" s="93" customFormat="1" ht="16.5">
      <c r="A117" s="91"/>
      <c r="B117" s="92"/>
      <c r="C117" s="93" t="str">
        <f t="shared" si="3"/>
        <v/>
      </c>
      <c r="D117" s="94"/>
      <c r="E117" s="95"/>
      <c r="F117" s="93" t="str">
        <f t="shared" si="4"/>
        <v/>
      </c>
      <c r="G117" s="94"/>
      <c r="H117" s="95"/>
      <c r="I117" s="93" t="str">
        <f t="shared" si="5"/>
        <v/>
      </c>
    </row>
    <row r="118" spans="1:9" s="93" customFormat="1" ht="16.5">
      <c r="A118" s="91"/>
      <c r="B118" s="92"/>
      <c r="C118" s="93" t="str">
        <f t="shared" si="3"/>
        <v/>
      </c>
      <c r="D118" s="94"/>
      <c r="E118" s="95"/>
      <c r="F118" s="93" t="str">
        <f t="shared" si="4"/>
        <v/>
      </c>
      <c r="G118" s="94"/>
      <c r="H118" s="95"/>
      <c r="I118" s="93" t="str">
        <f t="shared" si="5"/>
        <v/>
      </c>
    </row>
    <row r="119" spans="1:9" s="93" customFormat="1" ht="16.5">
      <c r="A119" s="91"/>
      <c r="B119" s="92"/>
      <c r="C119" s="93" t="str">
        <f t="shared" si="3"/>
        <v/>
      </c>
      <c r="D119" s="94"/>
      <c r="E119" s="95"/>
      <c r="F119" s="93" t="str">
        <f t="shared" si="4"/>
        <v/>
      </c>
      <c r="G119" s="94"/>
      <c r="H119" s="95"/>
      <c r="I119" s="93" t="str">
        <f t="shared" si="5"/>
        <v/>
      </c>
    </row>
    <row r="120" spans="1:9" s="93" customFormat="1" ht="16.5">
      <c r="A120" s="91"/>
      <c r="B120" s="92"/>
      <c r="C120" s="93" t="str">
        <f t="shared" si="3"/>
        <v/>
      </c>
      <c r="D120" s="94"/>
      <c r="E120" s="95"/>
      <c r="F120" s="93" t="str">
        <f t="shared" si="4"/>
        <v/>
      </c>
      <c r="G120" s="94"/>
      <c r="H120" s="95"/>
      <c r="I120" s="93" t="str">
        <f t="shared" si="5"/>
        <v/>
      </c>
    </row>
    <row r="121" spans="1:9" s="93" customFormat="1" ht="16.5">
      <c r="A121" s="91"/>
      <c r="B121" s="92"/>
      <c r="C121" s="93" t="str">
        <f t="shared" ref="C121:C184" si="6">IF(B121&gt;0,TEXT(B121,"(aaa)"),"")</f>
        <v/>
      </c>
      <c r="D121" s="94"/>
      <c r="E121" s="95"/>
      <c r="F121" s="93" t="str">
        <f t="shared" ref="F121:F184" si="7">IF(E121&gt;0,TEXT(E121,"(aaa)"),"")</f>
        <v/>
      </c>
      <c r="G121" s="94"/>
      <c r="H121" s="95"/>
      <c r="I121" s="93" t="str">
        <f t="shared" ref="I121:I184" si="8">IF(H121&gt;0,TEXT(H121,"(aaa)"),"")</f>
        <v/>
      </c>
    </row>
    <row r="122" spans="1:9" s="93" customFormat="1" ht="16.5">
      <c r="A122" s="91"/>
      <c r="B122" s="92"/>
      <c r="C122" s="93" t="str">
        <f t="shared" si="6"/>
        <v/>
      </c>
      <c r="D122" s="94"/>
      <c r="E122" s="95"/>
      <c r="F122" s="93" t="str">
        <f t="shared" si="7"/>
        <v/>
      </c>
      <c r="G122" s="94"/>
      <c r="H122" s="95"/>
      <c r="I122" s="93" t="str">
        <f t="shared" si="8"/>
        <v/>
      </c>
    </row>
    <row r="123" spans="1:9" s="93" customFormat="1" ht="16.5">
      <c r="A123" s="91"/>
      <c r="B123" s="92"/>
      <c r="C123" s="93" t="str">
        <f t="shared" si="6"/>
        <v/>
      </c>
      <c r="D123" s="94"/>
      <c r="E123" s="95"/>
      <c r="F123" s="93" t="str">
        <f t="shared" si="7"/>
        <v/>
      </c>
      <c r="G123" s="94"/>
      <c r="H123" s="95"/>
      <c r="I123" s="93" t="str">
        <f t="shared" si="8"/>
        <v/>
      </c>
    </row>
    <row r="124" spans="1:9" s="93" customFormat="1" ht="16.5">
      <c r="A124" s="91"/>
      <c r="B124" s="92"/>
      <c r="C124" s="93" t="str">
        <f t="shared" si="6"/>
        <v/>
      </c>
      <c r="D124" s="94"/>
      <c r="E124" s="95"/>
      <c r="F124" s="93" t="str">
        <f t="shared" si="7"/>
        <v/>
      </c>
      <c r="G124" s="94"/>
      <c r="H124" s="95"/>
      <c r="I124" s="93" t="str">
        <f t="shared" si="8"/>
        <v/>
      </c>
    </row>
    <row r="125" spans="1:9" s="93" customFormat="1" ht="16.5">
      <c r="A125" s="91"/>
      <c r="B125" s="92"/>
      <c r="C125" s="93" t="str">
        <f t="shared" si="6"/>
        <v/>
      </c>
      <c r="D125" s="94"/>
      <c r="E125" s="95"/>
      <c r="F125" s="93" t="str">
        <f t="shared" si="7"/>
        <v/>
      </c>
      <c r="G125" s="94"/>
      <c r="H125" s="95"/>
      <c r="I125" s="93" t="str">
        <f t="shared" si="8"/>
        <v/>
      </c>
    </row>
    <row r="126" spans="1:9" s="93" customFormat="1" ht="16.5">
      <c r="A126" s="91"/>
      <c r="B126" s="92"/>
      <c r="C126" s="93" t="str">
        <f t="shared" si="6"/>
        <v/>
      </c>
      <c r="D126" s="94"/>
      <c r="E126" s="95"/>
      <c r="F126" s="93" t="str">
        <f t="shared" si="7"/>
        <v/>
      </c>
      <c r="G126" s="94"/>
      <c r="H126" s="95"/>
      <c r="I126" s="93" t="str">
        <f t="shared" si="8"/>
        <v/>
      </c>
    </row>
    <row r="127" spans="1:9" s="93" customFormat="1" ht="16.5">
      <c r="A127" s="91"/>
      <c r="B127" s="92"/>
      <c r="C127" s="93" t="str">
        <f t="shared" si="6"/>
        <v/>
      </c>
      <c r="D127" s="94"/>
      <c r="E127" s="95"/>
      <c r="F127" s="93" t="str">
        <f t="shared" si="7"/>
        <v/>
      </c>
      <c r="G127" s="94"/>
      <c r="H127" s="95"/>
      <c r="I127" s="93" t="str">
        <f t="shared" si="8"/>
        <v/>
      </c>
    </row>
    <row r="128" spans="1:9" s="93" customFormat="1" ht="16.5">
      <c r="A128" s="91"/>
      <c r="B128" s="92"/>
      <c r="C128" s="93" t="str">
        <f t="shared" si="6"/>
        <v/>
      </c>
      <c r="D128" s="94"/>
      <c r="E128" s="95"/>
      <c r="F128" s="93" t="str">
        <f t="shared" si="7"/>
        <v/>
      </c>
      <c r="G128" s="94"/>
      <c r="H128" s="95"/>
      <c r="I128" s="93" t="str">
        <f t="shared" si="8"/>
        <v/>
      </c>
    </row>
    <row r="129" spans="1:9" s="93" customFormat="1" ht="16.5">
      <c r="A129" s="91"/>
      <c r="B129" s="92"/>
      <c r="C129" s="93" t="str">
        <f t="shared" si="6"/>
        <v/>
      </c>
      <c r="D129" s="94"/>
      <c r="E129" s="95"/>
      <c r="F129" s="93" t="str">
        <f t="shared" si="7"/>
        <v/>
      </c>
      <c r="G129" s="94"/>
      <c r="H129" s="95"/>
      <c r="I129" s="93" t="str">
        <f t="shared" si="8"/>
        <v/>
      </c>
    </row>
    <row r="130" spans="1:9" s="93" customFormat="1" ht="16.5">
      <c r="A130" s="91"/>
      <c r="B130" s="92"/>
      <c r="C130" s="93" t="str">
        <f t="shared" si="6"/>
        <v/>
      </c>
      <c r="D130" s="94"/>
      <c r="E130" s="95"/>
      <c r="F130" s="93" t="str">
        <f t="shared" si="7"/>
        <v/>
      </c>
      <c r="G130" s="94"/>
      <c r="H130" s="95"/>
      <c r="I130" s="93" t="str">
        <f t="shared" si="8"/>
        <v/>
      </c>
    </row>
    <row r="131" spans="1:9" s="93" customFormat="1" ht="16.5">
      <c r="A131" s="91"/>
      <c r="B131" s="92"/>
      <c r="C131" s="93" t="str">
        <f t="shared" si="6"/>
        <v/>
      </c>
      <c r="D131" s="94"/>
      <c r="E131" s="95"/>
      <c r="F131" s="93" t="str">
        <f t="shared" si="7"/>
        <v/>
      </c>
      <c r="G131" s="94"/>
      <c r="H131" s="95"/>
      <c r="I131" s="93" t="str">
        <f t="shared" si="8"/>
        <v/>
      </c>
    </row>
    <row r="132" spans="1:9" s="93" customFormat="1" ht="16.5">
      <c r="A132" s="91"/>
      <c r="B132" s="92"/>
      <c r="C132" s="93" t="str">
        <f t="shared" si="6"/>
        <v/>
      </c>
      <c r="D132" s="94"/>
      <c r="E132" s="95"/>
      <c r="F132" s="93" t="str">
        <f t="shared" si="7"/>
        <v/>
      </c>
      <c r="G132" s="94"/>
      <c r="H132" s="95"/>
      <c r="I132" s="93" t="str">
        <f t="shared" si="8"/>
        <v/>
      </c>
    </row>
    <row r="133" spans="1:9" s="93" customFormat="1" ht="16.5">
      <c r="A133" s="91"/>
      <c r="B133" s="92"/>
      <c r="C133" s="93" t="str">
        <f t="shared" si="6"/>
        <v/>
      </c>
      <c r="D133" s="94"/>
      <c r="E133" s="95"/>
      <c r="F133" s="93" t="str">
        <f t="shared" si="7"/>
        <v/>
      </c>
      <c r="G133" s="94"/>
      <c r="H133" s="95"/>
      <c r="I133" s="93" t="str">
        <f t="shared" si="8"/>
        <v/>
      </c>
    </row>
    <row r="134" spans="1:9" s="93" customFormat="1" ht="16.5">
      <c r="A134" s="91"/>
      <c r="B134" s="92"/>
      <c r="C134" s="93" t="str">
        <f t="shared" si="6"/>
        <v/>
      </c>
      <c r="D134" s="94"/>
      <c r="E134" s="95"/>
      <c r="F134" s="93" t="str">
        <f t="shared" si="7"/>
        <v/>
      </c>
      <c r="G134" s="94"/>
      <c r="H134" s="95"/>
      <c r="I134" s="93" t="str">
        <f t="shared" si="8"/>
        <v/>
      </c>
    </row>
    <row r="135" spans="1:9" s="93" customFormat="1" ht="16.5">
      <c r="A135" s="91"/>
      <c r="B135" s="92"/>
      <c r="C135" s="93" t="str">
        <f t="shared" si="6"/>
        <v/>
      </c>
      <c r="D135" s="94"/>
      <c r="E135" s="95"/>
      <c r="F135" s="93" t="str">
        <f t="shared" si="7"/>
        <v/>
      </c>
      <c r="G135" s="94"/>
      <c r="H135" s="95"/>
      <c r="I135" s="93" t="str">
        <f t="shared" si="8"/>
        <v/>
      </c>
    </row>
    <row r="136" spans="1:9" s="93" customFormat="1" ht="16.5">
      <c r="A136" s="91"/>
      <c r="B136" s="92"/>
      <c r="C136" s="93" t="str">
        <f t="shared" si="6"/>
        <v/>
      </c>
      <c r="D136" s="94"/>
      <c r="E136" s="95"/>
      <c r="F136" s="93" t="str">
        <f t="shared" si="7"/>
        <v/>
      </c>
      <c r="G136" s="94"/>
      <c r="H136" s="95"/>
      <c r="I136" s="93" t="str">
        <f t="shared" si="8"/>
        <v/>
      </c>
    </row>
    <row r="137" spans="1:9" s="93" customFormat="1" ht="16.5">
      <c r="A137" s="91"/>
      <c r="B137" s="92"/>
      <c r="C137" s="93" t="str">
        <f t="shared" si="6"/>
        <v/>
      </c>
      <c r="D137" s="94"/>
      <c r="E137" s="95"/>
      <c r="F137" s="93" t="str">
        <f t="shared" si="7"/>
        <v/>
      </c>
      <c r="G137" s="94"/>
      <c r="H137" s="95"/>
      <c r="I137" s="93" t="str">
        <f t="shared" si="8"/>
        <v/>
      </c>
    </row>
    <row r="138" spans="1:9" s="93" customFormat="1" ht="16.5">
      <c r="A138" s="91"/>
      <c r="B138" s="92"/>
      <c r="C138" s="93" t="str">
        <f t="shared" si="6"/>
        <v/>
      </c>
      <c r="D138" s="94"/>
      <c r="E138" s="95"/>
      <c r="F138" s="93" t="str">
        <f t="shared" si="7"/>
        <v/>
      </c>
      <c r="G138" s="94"/>
      <c r="H138" s="95"/>
      <c r="I138" s="93" t="str">
        <f t="shared" si="8"/>
        <v/>
      </c>
    </row>
    <row r="139" spans="1:9" s="93" customFormat="1" ht="16.5">
      <c r="A139" s="91"/>
      <c r="B139" s="92"/>
      <c r="C139" s="93" t="str">
        <f t="shared" si="6"/>
        <v/>
      </c>
      <c r="D139" s="94"/>
      <c r="E139" s="95"/>
      <c r="F139" s="93" t="str">
        <f t="shared" si="7"/>
        <v/>
      </c>
      <c r="G139" s="94"/>
      <c r="H139" s="95"/>
      <c r="I139" s="93" t="str">
        <f t="shared" si="8"/>
        <v/>
      </c>
    </row>
    <row r="140" spans="1:9" s="93" customFormat="1" ht="16.5">
      <c r="A140" s="91"/>
      <c r="B140" s="92"/>
      <c r="C140" s="93" t="str">
        <f t="shared" si="6"/>
        <v/>
      </c>
      <c r="D140" s="94"/>
      <c r="E140" s="95"/>
      <c r="F140" s="93" t="str">
        <f t="shared" si="7"/>
        <v/>
      </c>
      <c r="G140" s="94"/>
      <c r="H140" s="95"/>
      <c r="I140" s="93" t="str">
        <f t="shared" si="8"/>
        <v/>
      </c>
    </row>
    <row r="141" spans="1:9" s="93" customFormat="1" ht="16.5">
      <c r="A141" s="91"/>
      <c r="B141" s="92"/>
      <c r="C141" s="93" t="str">
        <f t="shared" si="6"/>
        <v/>
      </c>
      <c r="D141" s="94"/>
      <c r="E141" s="95"/>
      <c r="F141" s="93" t="str">
        <f t="shared" si="7"/>
        <v/>
      </c>
      <c r="G141" s="94"/>
      <c r="H141" s="95"/>
      <c r="I141" s="93" t="str">
        <f t="shared" si="8"/>
        <v/>
      </c>
    </row>
    <row r="142" spans="1:9" s="93" customFormat="1" ht="16.5">
      <c r="A142" s="91"/>
      <c r="B142" s="92"/>
      <c r="C142" s="93" t="str">
        <f t="shared" si="6"/>
        <v/>
      </c>
      <c r="D142" s="94"/>
      <c r="E142" s="95"/>
      <c r="F142" s="93" t="str">
        <f t="shared" si="7"/>
        <v/>
      </c>
      <c r="G142" s="94"/>
      <c r="H142" s="95"/>
      <c r="I142" s="93" t="str">
        <f t="shared" si="8"/>
        <v/>
      </c>
    </row>
    <row r="143" spans="1:9" s="93" customFormat="1" ht="16.5">
      <c r="A143" s="91"/>
      <c r="B143" s="92"/>
      <c r="C143" s="93" t="str">
        <f t="shared" si="6"/>
        <v/>
      </c>
      <c r="D143" s="94"/>
      <c r="E143" s="95"/>
      <c r="F143" s="93" t="str">
        <f t="shared" si="7"/>
        <v/>
      </c>
      <c r="G143" s="94"/>
      <c r="H143" s="95"/>
      <c r="I143" s="93" t="str">
        <f t="shared" si="8"/>
        <v/>
      </c>
    </row>
    <row r="144" spans="1:9" s="93" customFormat="1" ht="16.5">
      <c r="A144" s="91"/>
      <c r="B144" s="92"/>
      <c r="C144" s="93" t="str">
        <f t="shared" si="6"/>
        <v/>
      </c>
      <c r="D144" s="94"/>
      <c r="E144" s="95"/>
      <c r="F144" s="93" t="str">
        <f t="shared" si="7"/>
        <v/>
      </c>
      <c r="G144" s="94"/>
      <c r="H144" s="95"/>
      <c r="I144" s="93" t="str">
        <f t="shared" si="8"/>
        <v/>
      </c>
    </row>
    <row r="145" spans="1:9" s="93" customFormat="1" ht="16.5">
      <c r="A145" s="91"/>
      <c r="B145" s="92"/>
      <c r="C145" s="93" t="str">
        <f t="shared" si="6"/>
        <v/>
      </c>
      <c r="D145" s="94"/>
      <c r="E145" s="95"/>
      <c r="F145" s="93" t="str">
        <f t="shared" si="7"/>
        <v/>
      </c>
      <c r="G145" s="94"/>
      <c r="H145" s="95"/>
      <c r="I145" s="93" t="str">
        <f t="shared" si="8"/>
        <v/>
      </c>
    </row>
    <row r="146" spans="1:9" s="93" customFormat="1" ht="16.5">
      <c r="A146" s="91"/>
      <c r="B146" s="92"/>
      <c r="C146" s="93" t="str">
        <f t="shared" si="6"/>
        <v/>
      </c>
      <c r="D146" s="94"/>
      <c r="E146" s="95"/>
      <c r="F146" s="93" t="str">
        <f t="shared" si="7"/>
        <v/>
      </c>
      <c r="G146" s="94"/>
      <c r="H146" s="95"/>
      <c r="I146" s="93" t="str">
        <f t="shared" si="8"/>
        <v/>
      </c>
    </row>
    <row r="147" spans="1:9" s="93" customFormat="1" ht="16.5">
      <c r="A147" s="91"/>
      <c r="B147" s="92"/>
      <c r="C147" s="93" t="str">
        <f t="shared" si="6"/>
        <v/>
      </c>
      <c r="D147" s="94"/>
      <c r="E147" s="95"/>
      <c r="F147" s="93" t="str">
        <f t="shared" si="7"/>
        <v/>
      </c>
      <c r="G147" s="94"/>
      <c r="H147" s="95"/>
      <c r="I147" s="93" t="str">
        <f t="shared" si="8"/>
        <v/>
      </c>
    </row>
    <row r="148" spans="1:9" s="93" customFormat="1" ht="16.5">
      <c r="A148" s="91"/>
      <c r="B148" s="92"/>
      <c r="C148" s="93" t="str">
        <f t="shared" si="6"/>
        <v/>
      </c>
      <c r="D148" s="94"/>
      <c r="E148" s="95"/>
      <c r="F148" s="93" t="str">
        <f t="shared" si="7"/>
        <v/>
      </c>
      <c r="G148" s="94"/>
      <c r="H148" s="95"/>
      <c r="I148" s="93" t="str">
        <f t="shared" si="8"/>
        <v/>
      </c>
    </row>
    <row r="149" spans="1:9" s="93" customFormat="1" ht="16.5">
      <c r="A149" s="91"/>
      <c r="B149" s="92"/>
      <c r="C149" s="93" t="str">
        <f t="shared" si="6"/>
        <v/>
      </c>
      <c r="D149" s="94"/>
      <c r="E149" s="95"/>
      <c r="F149" s="93" t="str">
        <f t="shared" si="7"/>
        <v/>
      </c>
      <c r="G149" s="94"/>
      <c r="H149" s="95"/>
      <c r="I149" s="93" t="str">
        <f t="shared" si="8"/>
        <v/>
      </c>
    </row>
    <row r="150" spans="1:9" s="93" customFormat="1" ht="16.5">
      <c r="A150" s="91"/>
      <c r="B150" s="92"/>
      <c r="C150" s="93" t="str">
        <f t="shared" si="6"/>
        <v/>
      </c>
      <c r="D150" s="94"/>
      <c r="E150" s="95"/>
      <c r="F150" s="93" t="str">
        <f t="shared" si="7"/>
        <v/>
      </c>
      <c r="G150" s="94"/>
      <c r="H150" s="95"/>
      <c r="I150" s="93" t="str">
        <f t="shared" si="8"/>
        <v/>
      </c>
    </row>
    <row r="151" spans="1:9" s="93" customFormat="1" ht="16.5">
      <c r="A151" s="91"/>
      <c r="B151" s="92"/>
      <c r="C151" s="93" t="str">
        <f t="shared" si="6"/>
        <v/>
      </c>
      <c r="D151" s="94"/>
      <c r="E151" s="95"/>
      <c r="F151" s="93" t="str">
        <f t="shared" si="7"/>
        <v/>
      </c>
      <c r="G151" s="94"/>
      <c r="H151" s="95"/>
      <c r="I151" s="93" t="str">
        <f t="shared" si="8"/>
        <v/>
      </c>
    </row>
    <row r="152" spans="1:9" s="93" customFormat="1" ht="16.5">
      <c r="A152" s="91"/>
      <c r="B152" s="92"/>
      <c r="C152" s="93" t="str">
        <f t="shared" si="6"/>
        <v/>
      </c>
      <c r="D152" s="94"/>
      <c r="E152" s="95"/>
      <c r="F152" s="93" t="str">
        <f t="shared" si="7"/>
        <v/>
      </c>
      <c r="G152" s="94"/>
      <c r="H152" s="95"/>
      <c r="I152" s="93" t="str">
        <f t="shared" si="8"/>
        <v/>
      </c>
    </row>
    <row r="153" spans="1:9" s="93" customFormat="1" ht="16.5">
      <c r="A153" s="91"/>
      <c r="B153" s="92"/>
      <c r="C153" s="93" t="str">
        <f t="shared" si="6"/>
        <v/>
      </c>
      <c r="D153" s="94"/>
      <c r="E153" s="95"/>
      <c r="F153" s="93" t="str">
        <f t="shared" si="7"/>
        <v/>
      </c>
      <c r="G153" s="94"/>
      <c r="H153" s="95"/>
      <c r="I153" s="93" t="str">
        <f t="shared" si="8"/>
        <v/>
      </c>
    </row>
    <row r="154" spans="1:9" s="93" customFormat="1" ht="16.5">
      <c r="A154" s="91"/>
      <c r="B154" s="92"/>
      <c r="C154" s="93" t="str">
        <f t="shared" si="6"/>
        <v/>
      </c>
      <c r="D154" s="94"/>
      <c r="E154" s="95"/>
      <c r="F154" s="93" t="str">
        <f t="shared" si="7"/>
        <v/>
      </c>
      <c r="G154" s="94"/>
      <c r="H154" s="95"/>
      <c r="I154" s="93" t="str">
        <f t="shared" si="8"/>
        <v/>
      </c>
    </row>
    <row r="155" spans="1:9" s="93" customFormat="1" ht="16.5">
      <c r="A155" s="91"/>
      <c r="B155" s="92"/>
      <c r="C155" s="93" t="str">
        <f t="shared" si="6"/>
        <v/>
      </c>
      <c r="D155" s="94"/>
      <c r="E155" s="95"/>
      <c r="F155" s="93" t="str">
        <f t="shared" si="7"/>
        <v/>
      </c>
      <c r="G155" s="94"/>
      <c r="H155" s="95"/>
      <c r="I155" s="93" t="str">
        <f t="shared" si="8"/>
        <v/>
      </c>
    </row>
    <row r="156" spans="1:9" s="93" customFormat="1" ht="16.5">
      <c r="A156" s="91"/>
      <c r="B156" s="92"/>
      <c r="C156" s="93" t="str">
        <f t="shared" si="6"/>
        <v/>
      </c>
      <c r="D156" s="94"/>
      <c r="E156" s="95"/>
      <c r="F156" s="93" t="str">
        <f t="shared" si="7"/>
        <v/>
      </c>
      <c r="G156" s="94"/>
      <c r="H156" s="95"/>
      <c r="I156" s="93" t="str">
        <f t="shared" si="8"/>
        <v/>
      </c>
    </row>
    <row r="157" spans="1:9" s="93" customFormat="1" ht="16.5">
      <c r="A157" s="91"/>
      <c r="B157" s="92"/>
      <c r="C157" s="93" t="str">
        <f t="shared" si="6"/>
        <v/>
      </c>
      <c r="D157" s="94"/>
      <c r="E157" s="95"/>
      <c r="F157" s="93" t="str">
        <f t="shared" si="7"/>
        <v/>
      </c>
      <c r="G157" s="94"/>
      <c r="H157" s="95"/>
      <c r="I157" s="93" t="str">
        <f t="shared" si="8"/>
        <v/>
      </c>
    </row>
    <row r="158" spans="1:9" s="93" customFormat="1" ht="16.5">
      <c r="A158" s="91"/>
      <c r="B158" s="92"/>
      <c r="C158" s="93" t="str">
        <f t="shared" si="6"/>
        <v/>
      </c>
      <c r="D158" s="94"/>
      <c r="E158" s="95"/>
      <c r="F158" s="93" t="str">
        <f t="shared" si="7"/>
        <v/>
      </c>
      <c r="G158" s="94"/>
      <c r="H158" s="95"/>
      <c r="I158" s="93" t="str">
        <f t="shared" si="8"/>
        <v/>
      </c>
    </row>
    <row r="159" spans="1:9" s="93" customFormat="1" ht="16.5">
      <c r="A159" s="91"/>
      <c r="B159" s="92"/>
      <c r="C159" s="93" t="str">
        <f t="shared" si="6"/>
        <v/>
      </c>
      <c r="D159" s="94"/>
      <c r="E159" s="95"/>
      <c r="F159" s="93" t="str">
        <f t="shared" si="7"/>
        <v/>
      </c>
      <c r="G159" s="94"/>
      <c r="H159" s="95"/>
      <c r="I159" s="93" t="str">
        <f t="shared" si="8"/>
        <v/>
      </c>
    </row>
    <row r="160" spans="1:9" s="93" customFormat="1" ht="16.5">
      <c r="A160" s="91"/>
      <c r="B160" s="92"/>
      <c r="C160" s="93" t="str">
        <f t="shared" si="6"/>
        <v/>
      </c>
      <c r="D160" s="94"/>
      <c r="E160" s="95"/>
      <c r="F160" s="93" t="str">
        <f t="shared" si="7"/>
        <v/>
      </c>
      <c r="G160" s="94"/>
      <c r="H160" s="95"/>
      <c r="I160" s="93" t="str">
        <f t="shared" si="8"/>
        <v/>
      </c>
    </row>
    <row r="161" spans="1:9" s="93" customFormat="1" ht="16.5">
      <c r="A161" s="91"/>
      <c r="B161" s="92"/>
      <c r="C161" s="93" t="str">
        <f t="shared" si="6"/>
        <v/>
      </c>
      <c r="D161" s="94"/>
      <c r="E161" s="95"/>
      <c r="F161" s="93" t="str">
        <f t="shared" si="7"/>
        <v/>
      </c>
      <c r="G161" s="94"/>
      <c r="H161" s="95"/>
      <c r="I161" s="93" t="str">
        <f t="shared" si="8"/>
        <v/>
      </c>
    </row>
    <row r="162" spans="1:9" s="93" customFormat="1" ht="16.5">
      <c r="A162" s="91"/>
      <c r="B162" s="92"/>
      <c r="C162" s="93" t="str">
        <f t="shared" si="6"/>
        <v/>
      </c>
      <c r="D162" s="94"/>
      <c r="E162" s="95"/>
      <c r="F162" s="93" t="str">
        <f t="shared" si="7"/>
        <v/>
      </c>
      <c r="G162" s="94"/>
      <c r="H162" s="95"/>
      <c r="I162" s="93" t="str">
        <f t="shared" si="8"/>
        <v/>
      </c>
    </row>
    <row r="163" spans="1:9" s="93" customFormat="1" ht="16.5">
      <c r="A163" s="91"/>
      <c r="B163" s="92"/>
      <c r="C163" s="93" t="str">
        <f t="shared" si="6"/>
        <v/>
      </c>
      <c r="D163" s="94"/>
      <c r="E163" s="95"/>
      <c r="F163" s="93" t="str">
        <f t="shared" si="7"/>
        <v/>
      </c>
      <c r="G163" s="94"/>
      <c r="H163" s="95"/>
      <c r="I163" s="93" t="str">
        <f t="shared" si="8"/>
        <v/>
      </c>
    </row>
    <row r="164" spans="1:9" s="93" customFormat="1" ht="16.5">
      <c r="A164" s="91"/>
      <c r="B164" s="92"/>
      <c r="C164" s="93" t="str">
        <f t="shared" si="6"/>
        <v/>
      </c>
      <c r="D164" s="94"/>
      <c r="E164" s="95"/>
      <c r="F164" s="93" t="str">
        <f t="shared" si="7"/>
        <v/>
      </c>
      <c r="G164" s="94"/>
      <c r="H164" s="95"/>
      <c r="I164" s="93" t="str">
        <f t="shared" si="8"/>
        <v/>
      </c>
    </row>
    <row r="165" spans="1:9" s="93" customFormat="1" ht="16.5">
      <c r="A165" s="91"/>
      <c r="B165" s="92"/>
      <c r="C165" s="93" t="str">
        <f t="shared" si="6"/>
        <v/>
      </c>
      <c r="D165" s="94"/>
      <c r="E165" s="95"/>
      <c r="F165" s="93" t="str">
        <f t="shared" si="7"/>
        <v/>
      </c>
      <c r="G165" s="94"/>
      <c r="H165" s="95"/>
      <c r="I165" s="93" t="str">
        <f t="shared" si="8"/>
        <v/>
      </c>
    </row>
    <row r="166" spans="1:9" s="93" customFormat="1" ht="16.5">
      <c r="A166" s="91"/>
      <c r="B166" s="92"/>
      <c r="C166" s="93" t="str">
        <f t="shared" si="6"/>
        <v/>
      </c>
      <c r="D166" s="94"/>
      <c r="E166" s="95"/>
      <c r="F166" s="93" t="str">
        <f t="shared" si="7"/>
        <v/>
      </c>
      <c r="G166" s="94"/>
      <c r="H166" s="95"/>
      <c r="I166" s="93" t="str">
        <f t="shared" si="8"/>
        <v/>
      </c>
    </row>
    <row r="167" spans="1:9" s="93" customFormat="1" ht="16.5">
      <c r="A167" s="91"/>
      <c r="B167" s="92"/>
      <c r="C167" s="93" t="str">
        <f t="shared" si="6"/>
        <v/>
      </c>
      <c r="D167" s="94"/>
      <c r="E167" s="95"/>
      <c r="F167" s="93" t="str">
        <f t="shared" si="7"/>
        <v/>
      </c>
      <c r="G167" s="94"/>
      <c r="H167" s="95"/>
      <c r="I167" s="93" t="str">
        <f t="shared" si="8"/>
        <v/>
      </c>
    </row>
    <row r="168" spans="1:9" s="93" customFormat="1" ht="16.5">
      <c r="A168" s="91"/>
      <c r="B168" s="92"/>
      <c r="C168" s="93" t="str">
        <f t="shared" si="6"/>
        <v/>
      </c>
      <c r="D168" s="94"/>
      <c r="E168" s="95"/>
      <c r="F168" s="93" t="str">
        <f t="shared" si="7"/>
        <v/>
      </c>
      <c r="G168" s="94"/>
      <c r="H168" s="95"/>
      <c r="I168" s="93" t="str">
        <f t="shared" si="8"/>
        <v/>
      </c>
    </row>
    <row r="169" spans="1:9" s="93" customFormat="1" ht="16.5">
      <c r="A169" s="91"/>
      <c r="B169" s="92"/>
      <c r="C169" s="93" t="str">
        <f t="shared" si="6"/>
        <v/>
      </c>
      <c r="D169" s="94"/>
      <c r="E169" s="95"/>
      <c r="F169" s="93" t="str">
        <f t="shared" si="7"/>
        <v/>
      </c>
      <c r="G169" s="94"/>
      <c r="H169" s="95"/>
      <c r="I169" s="93" t="str">
        <f t="shared" si="8"/>
        <v/>
      </c>
    </row>
    <row r="170" spans="1:9" s="93" customFormat="1" ht="16.5">
      <c r="A170" s="91"/>
      <c r="B170" s="92"/>
      <c r="C170" s="93" t="str">
        <f t="shared" si="6"/>
        <v/>
      </c>
      <c r="D170" s="94"/>
      <c r="E170" s="95"/>
      <c r="F170" s="93" t="str">
        <f t="shared" si="7"/>
        <v/>
      </c>
      <c r="G170" s="94"/>
      <c r="H170" s="95"/>
      <c r="I170" s="93" t="str">
        <f t="shared" si="8"/>
        <v/>
      </c>
    </row>
    <row r="171" spans="1:9" s="93" customFormat="1" ht="16.5">
      <c r="A171" s="91"/>
      <c r="B171" s="92"/>
      <c r="C171" s="93" t="str">
        <f t="shared" si="6"/>
        <v/>
      </c>
      <c r="D171" s="94"/>
      <c r="E171" s="95"/>
      <c r="F171" s="93" t="str">
        <f t="shared" si="7"/>
        <v/>
      </c>
      <c r="G171" s="94"/>
      <c r="H171" s="95"/>
      <c r="I171" s="93" t="str">
        <f t="shared" si="8"/>
        <v/>
      </c>
    </row>
    <row r="172" spans="1:9" s="93" customFormat="1" ht="16.5">
      <c r="A172" s="91"/>
      <c r="B172" s="92"/>
      <c r="C172" s="93" t="str">
        <f t="shared" si="6"/>
        <v/>
      </c>
      <c r="D172" s="94"/>
      <c r="E172" s="95"/>
      <c r="F172" s="93" t="str">
        <f t="shared" si="7"/>
        <v/>
      </c>
      <c r="G172" s="94"/>
      <c r="H172" s="95"/>
      <c r="I172" s="93" t="str">
        <f t="shared" si="8"/>
        <v/>
      </c>
    </row>
    <row r="173" spans="1:9" s="93" customFormat="1" ht="16.5">
      <c r="A173" s="91"/>
      <c r="B173" s="92"/>
      <c r="C173" s="93" t="str">
        <f t="shared" si="6"/>
        <v/>
      </c>
      <c r="D173" s="94"/>
      <c r="E173" s="95"/>
      <c r="F173" s="93" t="str">
        <f t="shared" si="7"/>
        <v/>
      </c>
      <c r="G173" s="94"/>
      <c r="H173" s="95"/>
      <c r="I173" s="93" t="str">
        <f t="shared" si="8"/>
        <v/>
      </c>
    </row>
    <row r="174" spans="1:9" s="93" customFormat="1" ht="16.5">
      <c r="A174" s="91"/>
      <c r="B174" s="92"/>
      <c r="C174" s="93" t="str">
        <f t="shared" si="6"/>
        <v/>
      </c>
      <c r="D174" s="94"/>
      <c r="E174" s="95"/>
      <c r="F174" s="93" t="str">
        <f t="shared" si="7"/>
        <v/>
      </c>
      <c r="G174" s="94"/>
      <c r="H174" s="95"/>
      <c r="I174" s="93" t="str">
        <f t="shared" si="8"/>
        <v/>
      </c>
    </row>
    <row r="175" spans="1:9" s="93" customFormat="1" ht="16.5">
      <c r="A175" s="91"/>
      <c r="B175" s="92"/>
      <c r="C175" s="93" t="str">
        <f t="shared" si="6"/>
        <v/>
      </c>
      <c r="D175" s="94"/>
      <c r="E175" s="95"/>
      <c r="F175" s="93" t="str">
        <f t="shared" si="7"/>
        <v/>
      </c>
      <c r="G175" s="94"/>
      <c r="H175" s="95"/>
      <c r="I175" s="93" t="str">
        <f t="shared" si="8"/>
        <v/>
      </c>
    </row>
    <row r="176" spans="1:9" s="93" customFormat="1" ht="16.5">
      <c r="A176" s="91"/>
      <c r="B176" s="92"/>
      <c r="C176" s="93" t="str">
        <f t="shared" si="6"/>
        <v/>
      </c>
      <c r="D176" s="94"/>
      <c r="E176" s="95"/>
      <c r="F176" s="93" t="str">
        <f t="shared" si="7"/>
        <v/>
      </c>
      <c r="G176" s="94"/>
      <c r="H176" s="95"/>
      <c r="I176" s="93" t="str">
        <f t="shared" si="8"/>
        <v/>
      </c>
    </row>
    <row r="177" spans="1:9" s="93" customFormat="1" ht="16.5">
      <c r="A177" s="91"/>
      <c r="B177" s="92"/>
      <c r="C177" s="93" t="str">
        <f t="shared" si="6"/>
        <v/>
      </c>
      <c r="D177" s="94"/>
      <c r="E177" s="95"/>
      <c r="F177" s="93" t="str">
        <f t="shared" si="7"/>
        <v/>
      </c>
      <c r="G177" s="94"/>
      <c r="H177" s="95"/>
      <c r="I177" s="93" t="str">
        <f t="shared" si="8"/>
        <v/>
      </c>
    </row>
    <row r="178" spans="1:9" s="93" customFormat="1" ht="16.5">
      <c r="A178" s="91"/>
      <c r="B178" s="92"/>
      <c r="C178" s="93" t="str">
        <f t="shared" si="6"/>
        <v/>
      </c>
      <c r="D178" s="94"/>
      <c r="E178" s="95"/>
      <c r="F178" s="93" t="str">
        <f t="shared" si="7"/>
        <v/>
      </c>
      <c r="G178" s="94"/>
      <c r="H178" s="95"/>
      <c r="I178" s="93" t="str">
        <f t="shared" si="8"/>
        <v/>
      </c>
    </row>
    <row r="179" spans="1:9" s="93" customFormat="1" ht="16.5">
      <c r="A179" s="91"/>
      <c r="B179" s="92"/>
      <c r="C179" s="93" t="str">
        <f t="shared" si="6"/>
        <v/>
      </c>
      <c r="D179" s="94"/>
      <c r="E179" s="95"/>
      <c r="F179" s="93" t="str">
        <f t="shared" si="7"/>
        <v/>
      </c>
      <c r="G179" s="94"/>
      <c r="H179" s="95"/>
      <c r="I179" s="93" t="str">
        <f t="shared" si="8"/>
        <v/>
      </c>
    </row>
    <row r="180" spans="1:9" s="93" customFormat="1" ht="16.5">
      <c r="A180" s="91"/>
      <c r="B180" s="92"/>
      <c r="C180" s="93" t="str">
        <f t="shared" si="6"/>
        <v/>
      </c>
      <c r="D180" s="94"/>
      <c r="E180" s="95"/>
      <c r="F180" s="93" t="str">
        <f t="shared" si="7"/>
        <v/>
      </c>
      <c r="G180" s="94"/>
      <c r="H180" s="95"/>
      <c r="I180" s="93" t="str">
        <f t="shared" si="8"/>
        <v/>
      </c>
    </row>
    <row r="181" spans="1:9" s="93" customFormat="1" ht="16.5">
      <c r="A181" s="91"/>
      <c r="B181" s="92"/>
      <c r="C181" s="93" t="str">
        <f t="shared" si="6"/>
        <v/>
      </c>
      <c r="D181" s="94"/>
      <c r="E181" s="95"/>
      <c r="F181" s="93" t="str">
        <f t="shared" si="7"/>
        <v/>
      </c>
      <c r="G181" s="94"/>
      <c r="H181" s="95"/>
      <c r="I181" s="93" t="str">
        <f t="shared" si="8"/>
        <v/>
      </c>
    </row>
    <row r="182" spans="1:9" s="93" customFormat="1" ht="16.5">
      <c r="A182" s="91"/>
      <c r="B182" s="92"/>
      <c r="C182" s="93" t="str">
        <f t="shared" si="6"/>
        <v/>
      </c>
      <c r="D182" s="94"/>
      <c r="E182" s="95"/>
      <c r="F182" s="93" t="str">
        <f t="shared" si="7"/>
        <v/>
      </c>
      <c r="G182" s="94"/>
      <c r="H182" s="95"/>
      <c r="I182" s="93" t="str">
        <f t="shared" si="8"/>
        <v/>
      </c>
    </row>
    <row r="183" spans="1:9" s="93" customFormat="1" ht="16.5">
      <c r="A183" s="91"/>
      <c r="B183" s="92"/>
      <c r="C183" s="93" t="str">
        <f t="shared" si="6"/>
        <v/>
      </c>
      <c r="D183" s="94"/>
      <c r="E183" s="95"/>
      <c r="F183" s="93" t="str">
        <f t="shared" si="7"/>
        <v/>
      </c>
      <c r="G183" s="94"/>
      <c r="H183" s="95"/>
      <c r="I183" s="93" t="str">
        <f t="shared" si="8"/>
        <v/>
      </c>
    </row>
    <row r="184" spans="1:9" s="93" customFormat="1" ht="16.5">
      <c r="A184" s="91"/>
      <c r="B184" s="92"/>
      <c r="C184" s="93" t="str">
        <f t="shared" si="6"/>
        <v/>
      </c>
      <c r="D184" s="94"/>
      <c r="E184" s="95"/>
      <c r="F184" s="93" t="str">
        <f t="shared" si="7"/>
        <v/>
      </c>
      <c r="G184" s="94"/>
      <c r="H184" s="95"/>
      <c r="I184" s="93" t="str">
        <f t="shared" si="8"/>
        <v/>
      </c>
    </row>
    <row r="185" spans="1:9" s="93" customFormat="1" ht="16.5">
      <c r="A185" s="91"/>
      <c r="B185" s="92"/>
      <c r="C185" s="93" t="str">
        <f t="shared" ref="C185:C248" si="9">IF(B185&gt;0,TEXT(B185,"(aaa)"),"")</f>
        <v/>
      </c>
      <c r="D185" s="94"/>
      <c r="E185" s="95"/>
      <c r="F185" s="93" t="str">
        <f t="shared" ref="F185:F248" si="10">IF(E185&gt;0,TEXT(E185,"(aaa)"),"")</f>
        <v/>
      </c>
      <c r="G185" s="94"/>
      <c r="H185" s="95"/>
      <c r="I185" s="93" t="str">
        <f t="shared" ref="I185:I248" si="11">IF(H185&gt;0,TEXT(H185,"(aaa)"),"")</f>
        <v/>
      </c>
    </row>
    <row r="186" spans="1:9" s="93" customFormat="1" ht="16.5">
      <c r="A186" s="91"/>
      <c r="B186" s="92"/>
      <c r="C186" s="93" t="str">
        <f t="shared" si="9"/>
        <v/>
      </c>
      <c r="D186" s="94"/>
      <c r="E186" s="95"/>
      <c r="F186" s="93" t="str">
        <f t="shared" si="10"/>
        <v/>
      </c>
      <c r="G186" s="94"/>
      <c r="H186" s="95"/>
      <c r="I186" s="93" t="str">
        <f t="shared" si="11"/>
        <v/>
      </c>
    </row>
    <row r="187" spans="1:9" s="93" customFormat="1" ht="16.5">
      <c r="A187" s="91"/>
      <c r="B187" s="92"/>
      <c r="C187" s="93" t="str">
        <f t="shared" si="9"/>
        <v/>
      </c>
      <c r="D187" s="94"/>
      <c r="E187" s="95"/>
      <c r="F187" s="93" t="str">
        <f t="shared" si="10"/>
        <v/>
      </c>
      <c r="G187" s="94"/>
      <c r="H187" s="95"/>
      <c r="I187" s="93" t="str">
        <f t="shared" si="11"/>
        <v/>
      </c>
    </row>
    <row r="188" spans="1:9" s="93" customFormat="1" ht="16.5">
      <c r="A188" s="91"/>
      <c r="B188" s="92"/>
      <c r="C188" s="93" t="str">
        <f t="shared" si="9"/>
        <v/>
      </c>
      <c r="D188" s="94"/>
      <c r="E188" s="95"/>
      <c r="F188" s="93" t="str">
        <f t="shared" si="10"/>
        <v/>
      </c>
      <c r="G188" s="94"/>
      <c r="H188" s="95"/>
      <c r="I188" s="93" t="str">
        <f t="shared" si="11"/>
        <v/>
      </c>
    </row>
    <row r="189" spans="1:9" s="93" customFormat="1" ht="16.5">
      <c r="A189" s="91"/>
      <c r="B189" s="92"/>
      <c r="C189" s="93" t="str">
        <f t="shared" si="9"/>
        <v/>
      </c>
      <c r="D189" s="94"/>
      <c r="E189" s="95"/>
      <c r="F189" s="93" t="str">
        <f t="shared" si="10"/>
        <v/>
      </c>
      <c r="G189" s="94"/>
      <c r="H189" s="95"/>
      <c r="I189" s="93" t="str">
        <f t="shared" si="11"/>
        <v/>
      </c>
    </row>
    <row r="190" spans="1:9" s="93" customFormat="1" ht="16.5">
      <c r="A190" s="91"/>
      <c r="B190" s="92"/>
      <c r="C190" s="93" t="str">
        <f t="shared" si="9"/>
        <v/>
      </c>
      <c r="D190" s="94"/>
      <c r="E190" s="95"/>
      <c r="F190" s="93" t="str">
        <f t="shared" si="10"/>
        <v/>
      </c>
      <c r="G190" s="94"/>
      <c r="H190" s="95"/>
      <c r="I190" s="93" t="str">
        <f t="shared" si="11"/>
        <v/>
      </c>
    </row>
    <row r="191" spans="1:9" s="93" customFormat="1" ht="16.5">
      <c r="A191" s="91"/>
      <c r="B191" s="92"/>
      <c r="C191" s="93" t="str">
        <f t="shared" si="9"/>
        <v/>
      </c>
      <c r="D191" s="94"/>
      <c r="E191" s="95"/>
      <c r="F191" s="93" t="str">
        <f t="shared" si="10"/>
        <v/>
      </c>
      <c r="G191" s="94"/>
      <c r="H191" s="95"/>
      <c r="I191" s="93" t="str">
        <f t="shared" si="11"/>
        <v/>
      </c>
    </row>
    <row r="192" spans="1:9" s="93" customFormat="1" ht="16.5">
      <c r="A192" s="91"/>
      <c r="B192" s="92"/>
      <c r="C192" s="93" t="str">
        <f t="shared" si="9"/>
        <v/>
      </c>
      <c r="D192" s="94"/>
      <c r="E192" s="95"/>
      <c r="F192" s="93" t="str">
        <f t="shared" si="10"/>
        <v/>
      </c>
      <c r="G192" s="94"/>
      <c r="H192" s="95"/>
      <c r="I192" s="93" t="str">
        <f t="shared" si="11"/>
        <v/>
      </c>
    </row>
    <row r="193" spans="1:9" s="93" customFormat="1" ht="16.5">
      <c r="A193" s="91"/>
      <c r="B193" s="92"/>
      <c r="C193" s="93" t="str">
        <f t="shared" si="9"/>
        <v/>
      </c>
      <c r="D193" s="94"/>
      <c r="E193" s="95"/>
      <c r="F193" s="93" t="str">
        <f t="shared" si="10"/>
        <v/>
      </c>
      <c r="G193" s="94"/>
      <c r="H193" s="95"/>
      <c r="I193" s="93" t="str">
        <f t="shared" si="11"/>
        <v/>
      </c>
    </row>
    <row r="194" spans="1:9" s="93" customFormat="1" ht="16.5">
      <c r="A194" s="91"/>
      <c r="B194" s="92"/>
      <c r="C194" s="93" t="str">
        <f t="shared" si="9"/>
        <v/>
      </c>
      <c r="D194" s="94"/>
      <c r="E194" s="95"/>
      <c r="F194" s="93" t="str">
        <f t="shared" si="10"/>
        <v/>
      </c>
      <c r="G194" s="94"/>
      <c r="H194" s="95"/>
      <c r="I194" s="93" t="str">
        <f t="shared" si="11"/>
        <v/>
      </c>
    </row>
    <row r="195" spans="1:9" s="93" customFormat="1" ht="16.5">
      <c r="A195" s="91"/>
      <c r="B195" s="92"/>
      <c r="C195" s="93" t="str">
        <f t="shared" si="9"/>
        <v/>
      </c>
      <c r="D195" s="94"/>
      <c r="E195" s="95"/>
      <c r="F195" s="93" t="str">
        <f t="shared" si="10"/>
        <v/>
      </c>
      <c r="G195" s="94"/>
      <c r="H195" s="95"/>
      <c r="I195" s="93" t="str">
        <f t="shared" si="11"/>
        <v/>
      </c>
    </row>
    <row r="196" spans="1:9" s="93" customFormat="1" ht="16.5">
      <c r="A196" s="91"/>
      <c r="B196" s="92"/>
      <c r="C196" s="93" t="str">
        <f t="shared" si="9"/>
        <v/>
      </c>
      <c r="D196" s="94"/>
      <c r="E196" s="95"/>
      <c r="F196" s="93" t="str">
        <f t="shared" si="10"/>
        <v/>
      </c>
      <c r="G196" s="94"/>
      <c r="H196" s="95"/>
      <c r="I196" s="93" t="str">
        <f t="shared" si="11"/>
        <v/>
      </c>
    </row>
    <row r="197" spans="1:9" s="93" customFormat="1" ht="16.5">
      <c r="A197" s="91"/>
      <c r="B197" s="92"/>
      <c r="C197" s="93" t="str">
        <f t="shared" si="9"/>
        <v/>
      </c>
      <c r="D197" s="94"/>
      <c r="E197" s="95"/>
      <c r="F197" s="93" t="str">
        <f t="shared" si="10"/>
        <v/>
      </c>
      <c r="G197" s="94"/>
      <c r="H197" s="95"/>
      <c r="I197" s="93" t="str">
        <f t="shared" si="11"/>
        <v/>
      </c>
    </row>
    <row r="198" spans="1:9" s="93" customFormat="1" ht="16.5">
      <c r="A198" s="91"/>
      <c r="B198" s="92"/>
      <c r="C198" s="93" t="str">
        <f t="shared" si="9"/>
        <v/>
      </c>
      <c r="D198" s="94"/>
      <c r="E198" s="95"/>
      <c r="F198" s="93" t="str">
        <f t="shared" si="10"/>
        <v/>
      </c>
      <c r="G198" s="94"/>
      <c r="H198" s="95"/>
      <c r="I198" s="93" t="str">
        <f t="shared" si="11"/>
        <v/>
      </c>
    </row>
    <row r="199" spans="1:9" s="93" customFormat="1" ht="16.5">
      <c r="A199" s="91"/>
      <c r="B199" s="92"/>
      <c r="C199" s="93" t="str">
        <f t="shared" si="9"/>
        <v/>
      </c>
      <c r="D199" s="94"/>
      <c r="E199" s="95"/>
      <c r="F199" s="93" t="str">
        <f t="shared" si="10"/>
        <v/>
      </c>
      <c r="G199" s="94"/>
      <c r="H199" s="95"/>
      <c r="I199" s="93" t="str">
        <f t="shared" si="11"/>
        <v/>
      </c>
    </row>
    <row r="200" spans="1:9" s="93" customFormat="1" ht="16.5">
      <c r="A200" s="91"/>
      <c r="B200" s="92"/>
      <c r="C200" s="93" t="str">
        <f t="shared" si="9"/>
        <v/>
      </c>
      <c r="D200" s="94"/>
      <c r="E200" s="95"/>
      <c r="F200" s="93" t="str">
        <f t="shared" si="10"/>
        <v/>
      </c>
      <c r="G200" s="94"/>
      <c r="H200" s="95"/>
      <c r="I200" s="93" t="str">
        <f t="shared" si="11"/>
        <v/>
      </c>
    </row>
    <row r="201" spans="1:9" s="93" customFormat="1" ht="16.5">
      <c r="A201" s="91"/>
      <c r="B201" s="92"/>
      <c r="C201" s="93" t="str">
        <f t="shared" si="9"/>
        <v/>
      </c>
      <c r="D201" s="94"/>
      <c r="E201" s="95"/>
      <c r="F201" s="93" t="str">
        <f t="shared" si="10"/>
        <v/>
      </c>
      <c r="G201" s="94"/>
      <c r="H201" s="95"/>
      <c r="I201" s="93" t="str">
        <f t="shared" si="11"/>
        <v/>
      </c>
    </row>
    <row r="202" spans="1:9" s="93" customFormat="1" ht="16.5">
      <c r="A202" s="91"/>
      <c r="B202" s="92"/>
      <c r="C202" s="93" t="str">
        <f t="shared" si="9"/>
        <v/>
      </c>
      <c r="D202" s="94"/>
      <c r="E202" s="95"/>
      <c r="F202" s="93" t="str">
        <f t="shared" si="10"/>
        <v/>
      </c>
      <c r="G202" s="94"/>
      <c r="H202" s="95"/>
      <c r="I202" s="93" t="str">
        <f t="shared" si="11"/>
        <v/>
      </c>
    </row>
    <row r="203" spans="1:9" s="93" customFormat="1" ht="16.5">
      <c r="A203" s="91"/>
      <c r="B203" s="92"/>
      <c r="C203" s="93" t="str">
        <f t="shared" si="9"/>
        <v/>
      </c>
      <c r="D203" s="94"/>
      <c r="E203" s="95"/>
      <c r="F203" s="93" t="str">
        <f t="shared" si="10"/>
        <v/>
      </c>
      <c r="G203" s="94"/>
      <c r="H203" s="95"/>
      <c r="I203" s="93" t="str">
        <f t="shared" si="11"/>
        <v/>
      </c>
    </row>
    <row r="204" spans="1:9" s="93" customFormat="1" ht="16.5">
      <c r="A204" s="91"/>
      <c r="B204" s="92"/>
      <c r="C204" s="93" t="str">
        <f t="shared" si="9"/>
        <v/>
      </c>
      <c r="D204" s="94"/>
      <c r="E204" s="95"/>
      <c r="F204" s="93" t="str">
        <f t="shared" si="10"/>
        <v/>
      </c>
      <c r="G204" s="94"/>
      <c r="H204" s="95"/>
      <c r="I204" s="93" t="str">
        <f t="shared" si="11"/>
        <v/>
      </c>
    </row>
    <row r="205" spans="1:9" s="93" customFormat="1" ht="16.5">
      <c r="A205" s="91"/>
      <c r="B205" s="92"/>
      <c r="C205" s="93" t="str">
        <f t="shared" si="9"/>
        <v/>
      </c>
      <c r="D205" s="94"/>
      <c r="E205" s="95"/>
      <c r="F205" s="93" t="str">
        <f t="shared" si="10"/>
        <v/>
      </c>
      <c r="G205" s="94"/>
      <c r="H205" s="95"/>
      <c r="I205" s="93" t="str">
        <f t="shared" si="11"/>
        <v/>
      </c>
    </row>
    <row r="206" spans="1:9" s="93" customFormat="1" ht="16.5">
      <c r="A206" s="91"/>
      <c r="B206" s="92"/>
      <c r="C206" s="93" t="str">
        <f t="shared" si="9"/>
        <v/>
      </c>
      <c r="D206" s="94"/>
      <c r="E206" s="95"/>
      <c r="F206" s="93" t="str">
        <f t="shared" si="10"/>
        <v/>
      </c>
      <c r="G206" s="94"/>
      <c r="H206" s="95"/>
      <c r="I206" s="93" t="str">
        <f t="shared" si="11"/>
        <v/>
      </c>
    </row>
    <row r="207" spans="1:9" s="93" customFormat="1" ht="16.5">
      <c r="A207" s="91"/>
      <c r="B207" s="92"/>
      <c r="C207" s="93" t="str">
        <f t="shared" si="9"/>
        <v/>
      </c>
      <c r="D207" s="94"/>
      <c r="E207" s="95"/>
      <c r="F207" s="93" t="str">
        <f t="shared" si="10"/>
        <v/>
      </c>
      <c r="G207" s="94"/>
      <c r="H207" s="95"/>
      <c r="I207" s="93" t="str">
        <f t="shared" si="11"/>
        <v/>
      </c>
    </row>
    <row r="208" spans="1:9" s="93" customFormat="1" ht="16.5">
      <c r="A208" s="91"/>
      <c r="B208" s="92"/>
      <c r="C208" s="93" t="str">
        <f t="shared" si="9"/>
        <v/>
      </c>
      <c r="D208" s="94"/>
      <c r="E208" s="95"/>
      <c r="F208" s="93" t="str">
        <f t="shared" si="10"/>
        <v/>
      </c>
      <c r="G208" s="94"/>
      <c r="H208" s="95"/>
      <c r="I208" s="93" t="str">
        <f t="shared" si="11"/>
        <v/>
      </c>
    </row>
    <row r="209" spans="1:9" s="93" customFormat="1" ht="16.5">
      <c r="A209" s="91"/>
      <c r="B209" s="92"/>
      <c r="C209" s="93" t="str">
        <f t="shared" si="9"/>
        <v/>
      </c>
      <c r="D209" s="94"/>
      <c r="E209" s="95"/>
      <c r="F209" s="93" t="str">
        <f t="shared" si="10"/>
        <v/>
      </c>
      <c r="G209" s="94"/>
      <c r="H209" s="95"/>
      <c r="I209" s="93" t="str">
        <f t="shared" si="11"/>
        <v/>
      </c>
    </row>
    <row r="210" spans="1:9" s="93" customFormat="1" ht="16.5">
      <c r="A210" s="91"/>
      <c r="B210" s="92"/>
      <c r="C210" s="93" t="str">
        <f t="shared" si="9"/>
        <v/>
      </c>
      <c r="D210" s="94"/>
      <c r="E210" s="95"/>
      <c r="F210" s="93" t="str">
        <f t="shared" si="10"/>
        <v/>
      </c>
      <c r="G210" s="94"/>
      <c r="H210" s="95"/>
      <c r="I210" s="93" t="str">
        <f t="shared" si="11"/>
        <v/>
      </c>
    </row>
    <row r="211" spans="1:9" s="93" customFormat="1" ht="16.5">
      <c r="A211" s="91"/>
      <c r="B211" s="92"/>
      <c r="C211" s="93" t="str">
        <f t="shared" si="9"/>
        <v/>
      </c>
      <c r="D211" s="94"/>
      <c r="E211" s="95"/>
      <c r="F211" s="93" t="str">
        <f t="shared" si="10"/>
        <v/>
      </c>
      <c r="G211" s="94"/>
      <c r="H211" s="95"/>
      <c r="I211" s="93" t="str">
        <f t="shared" si="11"/>
        <v/>
      </c>
    </row>
    <row r="212" spans="1:9" s="93" customFormat="1" ht="16.5">
      <c r="A212" s="91"/>
      <c r="B212" s="92"/>
      <c r="C212" s="93" t="str">
        <f t="shared" si="9"/>
        <v/>
      </c>
      <c r="D212" s="94"/>
      <c r="E212" s="95"/>
      <c r="F212" s="93" t="str">
        <f t="shared" si="10"/>
        <v/>
      </c>
      <c r="G212" s="94"/>
      <c r="H212" s="95"/>
      <c r="I212" s="93" t="str">
        <f t="shared" si="11"/>
        <v/>
      </c>
    </row>
    <row r="213" spans="1:9" s="93" customFormat="1" ht="16.5">
      <c r="A213" s="91"/>
      <c r="B213" s="92"/>
      <c r="C213" s="93" t="str">
        <f t="shared" si="9"/>
        <v/>
      </c>
      <c r="D213" s="94"/>
      <c r="E213" s="95"/>
      <c r="F213" s="93" t="str">
        <f t="shared" si="10"/>
        <v/>
      </c>
      <c r="G213" s="94"/>
      <c r="H213" s="95"/>
      <c r="I213" s="93" t="str">
        <f t="shared" si="11"/>
        <v/>
      </c>
    </row>
    <row r="214" spans="1:9" s="93" customFormat="1" ht="16.5">
      <c r="A214" s="91"/>
      <c r="B214" s="92"/>
      <c r="C214" s="93" t="str">
        <f t="shared" si="9"/>
        <v/>
      </c>
      <c r="D214" s="94"/>
      <c r="E214" s="95"/>
      <c r="F214" s="93" t="str">
        <f t="shared" si="10"/>
        <v/>
      </c>
      <c r="G214" s="94"/>
      <c r="H214" s="95"/>
      <c r="I214" s="93" t="str">
        <f t="shared" si="11"/>
        <v/>
      </c>
    </row>
    <row r="215" spans="1:9" s="93" customFormat="1" ht="16.5">
      <c r="A215" s="91"/>
      <c r="B215" s="92"/>
      <c r="C215" s="93" t="str">
        <f t="shared" si="9"/>
        <v/>
      </c>
      <c r="D215" s="94"/>
      <c r="E215" s="95"/>
      <c r="F215" s="93" t="str">
        <f t="shared" si="10"/>
        <v/>
      </c>
      <c r="G215" s="94"/>
      <c r="H215" s="95"/>
      <c r="I215" s="93" t="str">
        <f t="shared" si="11"/>
        <v/>
      </c>
    </row>
    <row r="216" spans="1:9" s="93" customFormat="1" ht="16.5">
      <c r="A216" s="91"/>
      <c r="B216" s="92"/>
      <c r="C216" s="93" t="str">
        <f t="shared" si="9"/>
        <v/>
      </c>
      <c r="D216" s="94"/>
      <c r="E216" s="95"/>
      <c r="F216" s="93" t="str">
        <f t="shared" si="10"/>
        <v/>
      </c>
      <c r="G216" s="94"/>
      <c r="H216" s="95"/>
      <c r="I216" s="93" t="str">
        <f t="shared" si="11"/>
        <v/>
      </c>
    </row>
    <row r="217" spans="1:9" s="93" customFormat="1" ht="16.5">
      <c r="A217" s="91"/>
      <c r="B217" s="92"/>
      <c r="C217" s="93" t="str">
        <f t="shared" si="9"/>
        <v/>
      </c>
      <c r="D217" s="94"/>
      <c r="E217" s="95"/>
      <c r="F217" s="93" t="str">
        <f t="shared" si="10"/>
        <v/>
      </c>
      <c r="G217" s="94"/>
      <c r="H217" s="95"/>
      <c r="I217" s="93" t="str">
        <f t="shared" si="11"/>
        <v/>
      </c>
    </row>
    <row r="218" spans="1:9" s="93" customFormat="1" ht="16.5">
      <c r="A218" s="91"/>
      <c r="B218" s="92"/>
      <c r="C218" s="93" t="str">
        <f t="shared" si="9"/>
        <v/>
      </c>
      <c r="D218" s="94"/>
      <c r="E218" s="95"/>
      <c r="F218" s="93" t="str">
        <f t="shared" si="10"/>
        <v/>
      </c>
      <c r="G218" s="94"/>
      <c r="H218" s="95"/>
      <c r="I218" s="93" t="str">
        <f t="shared" si="11"/>
        <v/>
      </c>
    </row>
    <row r="219" spans="1:9" s="93" customFormat="1" ht="16.5">
      <c r="A219" s="91"/>
      <c r="B219" s="92"/>
      <c r="C219" s="93" t="str">
        <f t="shared" si="9"/>
        <v/>
      </c>
      <c r="D219" s="94"/>
      <c r="E219" s="95"/>
      <c r="F219" s="93" t="str">
        <f t="shared" si="10"/>
        <v/>
      </c>
      <c r="G219" s="94"/>
      <c r="H219" s="95"/>
      <c r="I219" s="93" t="str">
        <f t="shared" si="11"/>
        <v/>
      </c>
    </row>
    <row r="220" spans="1:9" s="93" customFormat="1" ht="16.5">
      <c r="A220" s="91"/>
      <c r="B220" s="92"/>
      <c r="C220" s="93" t="str">
        <f t="shared" si="9"/>
        <v/>
      </c>
      <c r="D220" s="94"/>
      <c r="E220" s="95"/>
      <c r="F220" s="93" t="str">
        <f t="shared" si="10"/>
        <v/>
      </c>
      <c r="G220" s="94"/>
      <c r="H220" s="95"/>
      <c r="I220" s="93" t="str">
        <f t="shared" si="11"/>
        <v/>
      </c>
    </row>
    <row r="221" spans="1:9" s="93" customFormat="1" ht="16.5">
      <c r="A221" s="91"/>
      <c r="B221" s="92"/>
      <c r="C221" s="93" t="str">
        <f t="shared" si="9"/>
        <v/>
      </c>
      <c r="D221" s="94"/>
      <c r="E221" s="95"/>
      <c r="F221" s="93" t="str">
        <f t="shared" si="10"/>
        <v/>
      </c>
      <c r="G221" s="94"/>
      <c r="H221" s="95"/>
      <c r="I221" s="93" t="str">
        <f t="shared" si="11"/>
        <v/>
      </c>
    </row>
    <row r="222" spans="1:9" s="93" customFormat="1" ht="16.5">
      <c r="A222" s="91"/>
      <c r="B222" s="92"/>
      <c r="C222" s="93" t="str">
        <f t="shared" si="9"/>
        <v/>
      </c>
      <c r="D222" s="94"/>
      <c r="E222" s="95"/>
      <c r="F222" s="93" t="str">
        <f t="shared" si="10"/>
        <v/>
      </c>
      <c r="G222" s="94"/>
      <c r="H222" s="95"/>
      <c r="I222" s="93" t="str">
        <f t="shared" si="11"/>
        <v/>
      </c>
    </row>
    <row r="223" spans="1:9" s="93" customFormat="1" ht="16.5">
      <c r="A223" s="91"/>
      <c r="B223" s="92"/>
      <c r="C223" s="93" t="str">
        <f t="shared" si="9"/>
        <v/>
      </c>
      <c r="D223" s="94"/>
      <c r="E223" s="95"/>
      <c r="F223" s="93" t="str">
        <f t="shared" si="10"/>
        <v/>
      </c>
      <c r="G223" s="94"/>
      <c r="H223" s="95"/>
      <c r="I223" s="93" t="str">
        <f t="shared" si="11"/>
        <v/>
      </c>
    </row>
    <row r="224" spans="1:9" s="93" customFormat="1" ht="16.5">
      <c r="A224" s="91"/>
      <c r="B224" s="92"/>
      <c r="C224" s="93" t="str">
        <f t="shared" si="9"/>
        <v/>
      </c>
      <c r="D224" s="94"/>
      <c r="E224" s="95"/>
      <c r="F224" s="93" t="str">
        <f t="shared" si="10"/>
        <v/>
      </c>
      <c r="G224" s="94"/>
      <c r="H224" s="95"/>
      <c r="I224" s="93" t="str">
        <f t="shared" si="11"/>
        <v/>
      </c>
    </row>
    <row r="225" spans="1:9" s="93" customFormat="1" ht="16.5">
      <c r="A225" s="91"/>
      <c r="B225" s="92"/>
      <c r="C225" s="93" t="str">
        <f t="shared" si="9"/>
        <v/>
      </c>
      <c r="D225" s="94"/>
      <c r="E225" s="95"/>
      <c r="F225" s="93" t="str">
        <f t="shared" si="10"/>
        <v/>
      </c>
      <c r="G225" s="94"/>
      <c r="H225" s="95"/>
      <c r="I225" s="93" t="str">
        <f t="shared" si="11"/>
        <v/>
      </c>
    </row>
    <row r="226" spans="1:9" s="93" customFormat="1" ht="16.5">
      <c r="A226" s="91"/>
      <c r="B226" s="92"/>
      <c r="C226" s="93" t="str">
        <f t="shared" si="9"/>
        <v/>
      </c>
      <c r="D226" s="94"/>
      <c r="E226" s="95"/>
      <c r="F226" s="93" t="str">
        <f t="shared" si="10"/>
        <v/>
      </c>
      <c r="G226" s="94"/>
      <c r="H226" s="95"/>
      <c r="I226" s="93" t="str">
        <f t="shared" si="11"/>
        <v/>
      </c>
    </row>
    <row r="227" spans="1:9" s="93" customFormat="1" ht="16.5">
      <c r="A227" s="91"/>
      <c r="B227" s="92"/>
      <c r="C227" s="93" t="str">
        <f t="shared" si="9"/>
        <v/>
      </c>
      <c r="D227" s="94"/>
      <c r="E227" s="95"/>
      <c r="F227" s="93" t="str">
        <f t="shared" si="10"/>
        <v/>
      </c>
      <c r="G227" s="94"/>
      <c r="H227" s="95"/>
      <c r="I227" s="93" t="str">
        <f t="shared" si="11"/>
        <v/>
      </c>
    </row>
    <row r="228" spans="1:9" s="93" customFormat="1" ht="16.5">
      <c r="A228" s="91"/>
      <c r="B228" s="92"/>
      <c r="C228" s="93" t="str">
        <f t="shared" si="9"/>
        <v/>
      </c>
      <c r="D228" s="94"/>
      <c r="E228" s="95"/>
      <c r="F228" s="93" t="str">
        <f t="shared" si="10"/>
        <v/>
      </c>
      <c r="G228" s="94"/>
      <c r="H228" s="95"/>
      <c r="I228" s="93" t="str">
        <f t="shared" si="11"/>
        <v/>
      </c>
    </row>
    <row r="229" spans="1:9" s="93" customFormat="1" ht="16.5">
      <c r="A229" s="91"/>
      <c r="B229" s="92"/>
      <c r="C229" s="93" t="str">
        <f t="shared" si="9"/>
        <v/>
      </c>
      <c r="D229" s="94"/>
      <c r="E229" s="95"/>
      <c r="F229" s="93" t="str">
        <f t="shared" si="10"/>
        <v/>
      </c>
      <c r="G229" s="94"/>
      <c r="H229" s="95"/>
      <c r="I229" s="93" t="str">
        <f t="shared" si="11"/>
        <v/>
      </c>
    </row>
    <row r="230" spans="1:9" s="93" customFormat="1" ht="16.5">
      <c r="A230" s="94"/>
      <c r="B230" s="95"/>
      <c r="C230" s="93" t="str">
        <f t="shared" si="9"/>
        <v/>
      </c>
      <c r="D230" s="94"/>
      <c r="E230" s="95"/>
      <c r="F230" s="93" t="str">
        <f t="shared" si="10"/>
        <v/>
      </c>
      <c r="G230" s="94"/>
      <c r="H230" s="95"/>
      <c r="I230" s="93" t="str">
        <f t="shared" si="11"/>
        <v/>
      </c>
    </row>
    <row r="231" spans="1:9" s="93" customFormat="1" ht="16.5">
      <c r="A231" s="94"/>
      <c r="B231" s="95"/>
      <c r="C231" s="93" t="str">
        <f t="shared" si="9"/>
        <v/>
      </c>
      <c r="D231" s="94"/>
      <c r="E231" s="95"/>
      <c r="F231" s="93" t="str">
        <f t="shared" si="10"/>
        <v/>
      </c>
      <c r="G231" s="94"/>
      <c r="H231" s="95"/>
      <c r="I231" s="93" t="str">
        <f t="shared" si="11"/>
        <v/>
      </c>
    </row>
    <row r="232" spans="1:9" s="93" customFormat="1" ht="16.5">
      <c r="A232" s="94"/>
      <c r="B232" s="95"/>
      <c r="C232" s="93" t="str">
        <f t="shared" si="9"/>
        <v/>
      </c>
      <c r="D232" s="94"/>
      <c r="E232" s="95"/>
      <c r="F232" s="93" t="str">
        <f t="shared" si="10"/>
        <v/>
      </c>
      <c r="G232" s="94"/>
      <c r="H232" s="95"/>
      <c r="I232" s="93" t="str">
        <f t="shared" si="11"/>
        <v/>
      </c>
    </row>
    <row r="233" spans="1:9" s="93" customFormat="1" ht="16.5">
      <c r="A233" s="94"/>
      <c r="B233" s="95"/>
      <c r="C233" s="93" t="str">
        <f t="shared" si="9"/>
        <v/>
      </c>
      <c r="D233" s="94"/>
      <c r="E233" s="95"/>
      <c r="F233" s="93" t="str">
        <f t="shared" si="10"/>
        <v/>
      </c>
      <c r="G233" s="94"/>
      <c r="H233" s="95"/>
      <c r="I233" s="93" t="str">
        <f t="shared" si="11"/>
        <v/>
      </c>
    </row>
    <row r="234" spans="1:9" s="93" customFormat="1" ht="16.5">
      <c r="A234" s="94"/>
      <c r="B234" s="95"/>
      <c r="C234" s="93" t="str">
        <f t="shared" si="9"/>
        <v/>
      </c>
      <c r="D234" s="94"/>
      <c r="E234" s="95"/>
      <c r="F234" s="93" t="str">
        <f t="shared" si="10"/>
        <v/>
      </c>
      <c r="G234" s="94"/>
      <c r="H234" s="95"/>
      <c r="I234" s="93" t="str">
        <f t="shared" si="11"/>
        <v/>
      </c>
    </row>
    <row r="235" spans="1:9" s="93" customFormat="1" ht="16.5">
      <c r="A235" s="94"/>
      <c r="B235" s="95"/>
      <c r="C235" s="93" t="str">
        <f t="shared" si="9"/>
        <v/>
      </c>
      <c r="D235" s="94"/>
      <c r="E235" s="95"/>
      <c r="F235" s="93" t="str">
        <f t="shared" si="10"/>
        <v/>
      </c>
      <c r="G235" s="94"/>
      <c r="H235" s="95"/>
      <c r="I235" s="93" t="str">
        <f t="shared" si="11"/>
        <v/>
      </c>
    </row>
    <row r="236" spans="1:9" s="93" customFormat="1" ht="16.5">
      <c r="A236" s="94"/>
      <c r="B236" s="95"/>
      <c r="C236" s="93" t="str">
        <f t="shared" si="9"/>
        <v/>
      </c>
      <c r="D236" s="94"/>
      <c r="E236" s="95"/>
      <c r="F236" s="93" t="str">
        <f t="shared" si="10"/>
        <v/>
      </c>
      <c r="G236" s="94"/>
      <c r="H236" s="95"/>
      <c r="I236" s="93" t="str">
        <f t="shared" si="11"/>
        <v/>
      </c>
    </row>
    <row r="237" spans="1:9" s="93" customFormat="1" ht="16.5">
      <c r="A237" s="94"/>
      <c r="B237" s="95"/>
      <c r="C237" s="93" t="str">
        <f t="shared" si="9"/>
        <v/>
      </c>
      <c r="D237" s="94"/>
      <c r="E237" s="95"/>
      <c r="F237" s="93" t="str">
        <f t="shared" si="10"/>
        <v/>
      </c>
      <c r="G237" s="94"/>
      <c r="H237" s="95"/>
      <c r="I237" s="93" t="str">
        <f t="shared" si="11"/>
        <v/>
      </c>
    </row>
    <row r="238" spans="1:9" s="93" customFormat="1" ht="16.5">
      <c r="A238" s="94"/>
      <c r="B238" s="95"/>
      <c r="C238" s="93" t="str">
        <f t="shared" si="9"/>
        <v/>
      </c>
      <c r="D238" s="94"/>
      <c r="E238" s="95"/>
      <c r="F238" s="93" t="str">
        <f t="shared" si="10"/>
        <v/>
      </c>
      <c r="G238" s="94"/>
      <c r="H238" s="95"/>
      <c r="I238" s="93" t="str">
        <f t="shared" si="11"/>
        <v/>
      </c>
    </row>
    <row r="239" spans="1:9" s="93" customFormat="1" ht="16.5">
      <c r="A239" s="94"/>
      <c r="B239" s="95"/>
      <c r="C239" s="93" t="str">
        <f t="shared" si="9"/>
        <v/>
      </c>
      <c r="D239" s="94"/>
      <c r="E239" s="95"/>
      <c r="F239" s="93" t="str">
        <f t="shared" si="10"/>
        <v/>
      </c>
      <c r="G239" s="94"/>
      <c r="H239" s="95"/>
      <c r="I239" s="93" t="str">
        <f t="shared" si="11"/>
        <v/>
      </c>
    </row>
    <row r="240" spans="1:9" s="93" customFormat="1" ht="16.5">
      <c r="A240" s="94"/>
      <c r="B240" s="95"/>
      <c r="C240" s="93" t="str">
        <f t="shared" si="9"/>
        <v/>
      </c>
      <c r="D240" s="94"/>
      <c r="E240" s="95"/>
      <c r="F240" s="93" t="str">
        <f t="shared" si="10"/>
        <v/>
      </c>
      <c r="G240" s="94"/>
      <c r="H240" s="95"/>
      <c r="I240" s="93" t="str">
        <f t="shared" si="11"/>
        <v/>
      </c>
    </row>
    <row r="241" spans="1:9" s="93" customFormat="1" ht="16.5">
      <c r="A241" s="94"/>
      <c r="B241" s="95"/>
      <c r="C241" s="93" t="str">
        <f t="shared" si="9"/>
        <v/>
      </c>
      <c r="D241" s="94"/>
      <c r="E241" s="95"/>
      <c r="F241" s="93" t="str">
        <f t="shared" si="10"/>
        <v/>
      </c>
      <c r="G241" s="94"/>
      <c r="H241" s="95"/>
      <c r="I241" s="93" t="str">
        <f t="shared" si="11"/>
        <v/>
      </c>
    </row>
    <row r="242" spans="1:9" s="93" customFormat="1" ht="16.5">
      <c r="A242" s="94"/>
      <c r="B242" s="95"/>
      <c r="C242" s="93" t="str">
        <f t="shared" si="9"/>
        <v/>
      </c>
      <c r="D242" s="94"/>
      <c r="E242" s="95"/>
      <c r="F242" s="93" t="str">
        <f t="shared" si="10"/>
        <v/>
      </c>
      <c r="G242" s="94"/>
      <c r="H242" s="95"/>
      <c r="I242" s="93" t="str">
        <f t="shared" si="11"/>
        <v/>
      </c>
    </row>
    <row r="243" spans="1:9" s="93" customFormat="1" ht="16.5">
      <c r="A243" s="94"/>
      <c r="B243" s="95"/>
      <c r="C243" s="93" t="str">
        <f t="shared" si="9"/>
        <v/>
      </c>
      <c r="D243" s="94"/>
      <c r="E243" s="95"/>
      <c r="F243" s="93" t="str">
        <f t="shared" si="10"/>
        <v/>
      </c>
      <c r="G243" s="94"/>
      <c r="H243" s="95"/>
      <c r="I243" s="93" t="str">
        <f t="shared" si="11"/>
        <v/>
      </c>
    </row>
    <row r="244" spans="1:9" s="93" customFormat="1" ht="16.5">
      <c r="A244" s="94"/>
      <c r="B244" s="95"/>
      <c r="C244" s="93" t="str">
        <f t="shared" si="9"/>
        <v/>
      </c>
      <c r="D244" s="94"/>
      <c r="E244" s="95"/>
      <c r="F244" s="93" t="str">
        <f t="shared" si="10"/>
        <v/>
      </c>
      <c r="G244" s="94"/>
      <c r="H244" s="95"/>
      <c r="I244" s="93" t="str">
        <f t="shared" si="11"/>
        <v/>
      </c>
    </row>
    <row r="245" spans="1:9" s="93" customFormat="1" ht="16.5">
      <c r="A245" s="94"/>
      <c r="B245" s="95"/>
      <c r="C245" s="93" t="str">
        <f t="shared" si="9"/>
        <v/>
      </c>
      <c r="D245" s="94"/>
      <c r="E245" s="95"/>
      <c r="F245" s="93" t="str">
        <f t="shared" si="10"/>
        <v/>
      </c>
      <c r="G245" s="94"/>
      <c r="H245" s="95"/>
      <c r="I245" s="93" t="str">
        <f t="shared" si="11"/>
        <v/>
      </c>
    </row>
    <row r="246" spans="1:9" s="93" customFormat="1" ht="16.5">
      <c r="A246" s="94"/>
      <c r="B246" s="95"/>
      <c r="C246" s="93" t="str">
        <f t="shared" si="9"/>
        <v/>
      </c>
      <c r="D246" s="94"/>
      <c r="E246" s="95"/>
      <c r="F246" s="93" t="str">
        <f t="shared" si="10"/>
        <v/>
      </c>
      <c r="G246" s="94"/>
      <c r="H246" s="95"/>
      <c r="I246" s="93" t="str">
        <f t="shared" si="11"/>
        <v/>
      </c>
    </row>
    <row r="247" spans="1:9" s="93" customFormat="1" ht="16.5">
      <c r="A247" s="94"/>
      <c r="B247" s="95"/>
      <c r="C247" s="93" t="str">
        <f t="shared" si="9"/>
        <v/>
      </c>
      <c r="D247" s="94"/>
      <c r="E247" s="95"/>
      <c r="F247" s="93" t="str">
        <f t="shared" si="10"/>
        <v/>
      </c>
      <c r="G247" s="94"/>
      <c r="H247" s="95"/>
      <c r="I247" s="93" t="str">
        <f t="shared" si="11"/>
        <v/>
      </c>
    </row>
    <row r="248" spans="1:9" s="93" customFormat="1" ht="16.5">
      <c r="A248" s="94"/>
      <c r="B248" s="95"/>
      <c r="C248" s="93" t="str">
        <f t="shared" si="9"/>
        <v/>
      </c>
      <c r="D248" s="94"/>
      <c r="E248" s="95"/>
      <c r="F248" s="93" t="str">
        <f t="shared" si="10"/>
        <v/>
      </c>
      <c r="G248" s="94"/>
      <c r="H248" s="95"/>
      <c r="I248" s="93" t="str">
        <f t="shared" si="11"/>
        <v/>
      </c>
    </row>
    <row r="249" spans="1:9" s="93" customFormat="1" ht="16.5">
      <c r="A249" s="94"/>
      <c r="B249" s="95"/>
      <c r="C249" s="93" t="str">
        <f t="shared" ref="C249:C292" si="12">IF(B249&gt;0,TEXT(B249,"(aaa)"),"")</f>
        <v/>
      </c>
      <c r="D249" s="94"/>
      <c r="E249" s="95"/>
      <c r="F249" s="93" t="str">
        <f t="shared" ref="F249:F292" si="13">IF(E249&gt;0,TEXT(E249,"(aaa)"),"")</f>
        <v/>
      </c>
      <c r="G249" s="94"/>
      <c r="H249" s="95"/>
      <c r="I249" s="93" t="str">
        <f t="shared" ref="I249:I292" si="14">IF(H249&gt;0,TEXT(H249,"(aaa)"),"")</f>
        <v/>
      </c>
    </row>
    <row r="250" spans="1:9" s="93" customFormat="1" ht="16.5">
      <c r="A250" s="94"/>
      <c r="B250" s="95"/>
      <c r="C250" s="93" t="str">
        <f t="shared" si="12"/>
        <v/>
      </c>
      <c r="D250" s="94"/>
      <c r="E250" s="95"/>
      <c r="F250" s="93" t="str">
        <f t="shared" si="13"/>
        <v/>
      </c>
      <c r="G250" s="94"/>
      <c r="H250" s="95"/>
      <c r="I250" s="93" t="str">
        <f t="shared" si="14"/>
        <v/>
      </c>
    </row>
    <row r="251" spans="1:9" s="93" customFormat="1" ht="16.5">
      <c r="A251" s="94"/>
      <c r="B251" s="95"/>
      <c r="C251" s="93" t="str">
        <f t="shared" si="12"/>
        <v/>
      </c>
      <c r="D251" s="94"/>
      <c r="E251" s="95"/>
      <c r="F251" s="93" t="str">
        <f t="shared" si="13"/>
        <v/>
      </c>
      <c r="G251" s="94"/>
      <c r="H251" s="95"/>
      <c r="I251" s="93" t="str">
        <f t="shared" si="14"/>
        <v/>
      </c>
    </row>
    <row r="252" spans="1:9" s="93" customFormat="1" ht="16.5">
      <c r="A252" s="94"/>
      <c r="B252" s="95"/>
      <c r="C252" s="93" t="str">
        <f t="shared" si="12"/>
        <v/>
      </c>
      <c r="D252" s="94"/>
      <c r="E252" s="95"/>
      <c r="F252" s="93" t="str">
        <f t="shared" si="13"/>
        <v/>
      </c>
      <c r="G252" s="94"/>
      <c r="H252" s="95"/>
      <c r="I252" s="93" t="str">
        <f t="shared" si="14"/>
        <v/>
      </c>
    </row>
    <row r="253" spans="1:9" s="93" customFormat="1" ht="16.5">
      <c r="A253" s="94"/>
      <c r="B253" s="95"/>
      <c r="C253" s="93" t="str">
        <f t="shared" si="12"/>
        <v/>
      </c>
      <c r="D253" s="94"/>
      <c r="E253" s="95"/>
      <c r="F253" s="93" t="str">
        <f t="shared" si="13"/>
        <v/>
      </c>
      <c r="G253" s="94"/>
      <c r="H253" s="95"/>
      <c r="I253" s="93" t="str">
        <f t="shared" si="14"/>
        <v/>
      </c>
    </row>
    <row r="254" spans="1:9" s="93" customFormat="1" ht="16.5">
      <c r="A254" s="94"/>
      <c r="B254" s="95"/>
      <c r="C254" s="93" t="str">
        <f t="shared" si="12"/>
        <v/>
      </c>
      <c r="D254" s="94"/>
      <c r="E254" s="95"/>
      <c r="F254" s="93" t="str">
        <f t="shared" si="13"/>
        <v/>
      </c>
      <c r="G254" s="94"/>
      <c r="H254" s="95"/>
      <c r="I254" s="93" t="str">
        <f t="shared" si="14"/>
        <v/>
      </c>
    </row>
    <row r="255" spans="1:9" s="93" customFormat="1" ht="16.5">
      <c r="A255" s="94"/>
      <c r="B255" s="95"/>
      <c r="C255" s="93" t="str">
        <f t="shared" si="12"/>
        <v/>
      </c>
      <c r="D255" s="94"/>
      <c r="E255" s="95"/>
      <c r="F255" s="93" t="str">
        <f t="shared" si="13"/>
        <v/>
      </c>
      <c r="G255" s="94"/>
      <c r="H255" s="95"/>
      <c r="I255" s="93" t="str">
        <f t="shared" si="14"/>
        <v/>
      </c>
    </row>
    <row r="256" spans="1:9" s="93" customFormat="1" ht="16.5">
      <c r="A256" s="94"/>
      <c r="B256" s="95"/>
      <c r="C256" s="93" t="str">
        <f t="shared" si="12"/>
        <v/>
      </c>
      <c r="D256" s="94"/>
      <c r="E256" s="95"/>
      <c r="F256" s="93" t="str">
        <f t="shared" si="13"/>
        <v/>
      </c>
      <c r="G256" s="94"/>
      <c r="H256" s="95"/>
      <c r="I256" s="93" t="str">
        <f t="shared" si="14"/>
        <v/>
      </c>
    </row>
    <row r="257" spans="1:9" s="93" customFormat="1" ht="16.5">
      <c r="A257" s="94"/>
      <c r="B257" s="95"/>
      <c r="C257" s="93" t="str">
        <f t="shared" si="12"/>
        <v/>
      </c>
      <c r="D257" s="94"/>
      <c r="E257" s="95"/>
      <c r="F257" s="93" t="str">
        <f t="shared" si="13"/>
        <v/>
      </c>
      <c r="G257" s="94"/>
      <c r="H257" s="95"/>
      <c r="I257" s="93" t="str">
        <f t="shared" si="14"/>
        <v/>
      </c>
    </row>
    <row r="258" spans="1:9" s="93" customFormat="1" ht="16.5">
      <c r="A258" s="94"/>
      <c r="B258" s="95"/>
      <c r="C258" s="93" t="str">
        <f t="shared" si="12"/>
        <v/>
      </c>
      <c r="D258" s="94"/>
      <c r="E258" s="95"/>
      <c r="F258" s="93" t="str">
        <f t="shared" si="13"/>
        <v/>
      </c>
      <c r="G258" s="94"/>
      <c r="H258" s="95"/>
      <c r="I258" s="93" t="str">
        <f t="shared" si="14"/>
        <v/>
      </c>
    </row>
    <row r="259" spans="1:9" s="93" customFormat="1" ht="16.5">
      <c r="A259" s="94"/>
      <c r="B259" s="95"/>
      <c r="C259" s="93" t="str">
        <f t="shared" si="12"/>
        <v/>
      </c>
      <c r="D259" s="94"/>
      <c r="E259" s="95"/>
      <c r="F259" s="93" t="str">
        <f t="shared" si="13"/>
        <v/>
      </c>
      <c r="G259" s="94"/>
      <c r="H259" s="95"/>
      <c r="I259" s="93" t="str">
        <f t="shared" si="14"/>
        <v/>
      </c>
    </row>
    <row r="260" spans="1:9" s="93" customFormat="1" ht="16.5">
      <c r="A260" s="94"/>
      <c r="B260" s="95"/>
      <c r="C260" s="93" t="str">
        <f t="shared" si="12"/>
        <v/>
      </c>
      <c r="D260" s="94"/>
      <c r="E260" s="95"/>
      <c r="F260" s="93" t="str">
        <f t="shared" si="13"/>
        <v/>
      </c>
      <c r="G260" s="94"/>
      <c r="H260" s="95"/>
      <c r="I260" s="93" t="str">
        <f t="shared" si="14"/>
        <v/>
      </c>
    </row>
    <row r="261" spans="1:9" s="93" customFormat="1" ht="16.5">
      <c r="A261" s="94"/>
      <c r="B261" s="95"/>
      <c r="C261" s="93" t="str">
        <f t="shared" si="12"/>
        <v/>
      </c>
      <c r="D261" s="94"/>
      <c r="E261" s="95"/>
      <c r="F261" s="93" t="str">
        <f t="shared" si="13"/>
        <v/>
      </c>
      <c r="G261" s="94"/>
      <c r="H261" s="95"/>
      <c r="I261" s="93" t="str">
        <f t="shared" si="14"/>
        <v/>
      </c>
    </row>
    <row r="262" spans="1:9" s="93" customFormat="1" ht="16.5">
      <c r="A262" s="94"/>
      <c r="B262" s="95"/>
      <c r="C262" s="93" t="str">
        <f t="shared" si="12"/>
        <v/>
      </c>
      <c r="D262" s="94"/>
      <c r="E262" s="95"/>
      <c r="F262" s="93" t="str">
        <f t="shared" si="13"/>
        <v/>
      </c>
      <c r="G262" s="94"/>
      <c r="H262" s="95"/>
      <c r="I262" s="93" t="str">
        <f t="shared" si="14"/>
        <v/>
      </c>
    </row>
    <row r="263" spans="1:9" s="93" customFormat="1" ht="16.5">
      <c r="A263" s="94"/>
      <c r="B263" s="95"/>
      <c r="C263" s="93" t="str">
        <f t="shared" si="12"/>
        <v/>
      </c>
      <c r="D263" s="94"/>
      <c r="E263" s="95"/>
      <c r="F263" s="93" t="str">
        <f t="shared" si="13"/>
        <v/>
      </c>
      <c r="G263" s="94"/>
      <c r="H263" s="95"/>
      <c r="I263" s="93" t="str">
        <f t="shared" si="14"/>
        <v/>
      </c>
    </row>
    <row r="264" spans="1:9" s="93" customFormat="1" ht="16.5">
      <c r="A264" s="94"/>
      <c r="B264" s="95"/>
      <c r="C264" s="93" t="str">
        <f t="shared" si="12"/>
        <v/>
      </c>
      <c r="D264" s="94"/>
      <c r="E264" s="95"/>
      <c r="F264" s="93" t="str">
        <f t="shared" si="13"/>
        <v/>
      </c>
      <c r="G264" s="94"/>
      <c r="H264" s="95"/>
      <c r="I264" s="93" t="str">
        <f t="shared" si="14"/>
        <v/>
      </c>
    </row>
    <row r="265" spans="1:9" s="93" customFormat="1" ht="16.5">
      <c r="A265" s="94"/>
      <c r="B265" s="95"/>
      <c r="C265" s="93" t="str">
        <f t="shared" si="12"/>
        <v/>
      </c>
      <c r="D265" s="94"/>
      <c r="E265" s="95"/>
      <c r="F265" s="93" t="str">
        <f t="shared" si="13"/>
        <v/>
      </c>
      <c r="G265" s="94"/>
      <c r="H265" s="95"/>
      <c r="I265" s="93" t="str">
        <f t="shared" si="14"/>
        <v/>
      </c>
    </row>
    <row r="266" spans="1:9" s="93" customFormat="1" ht="16.5">
      <c r="A266" s="94"/>
      <c r="B266" s="95"/>
      <c r="C266" s="93" t="str">
        <f t="shared" si="12"/>
        <v/>
      </c>
      <c r="D266" s="94"/>
      <c r="E266" s="95"/>
      <c r="F266" s="93" t="str">
        <f t="shared" si="13"/>
        <v/>
      </c>
      <c r="G266" s="94"/>
      <c r="H266" s="95"/>
      <c r="I266" s="93" t="str">
        <f t="shared" si="14"/>
        <v/>
      </c>
    </row>
    <row r="267" spans="1:9" s="93" customFormat="1" ht="16.5">
      <c r="A267" s="94"/>
      <c r="B267" s="95"/>
      <c r="C267" s="93" t="str">
        <f t="shared" si="12"/>
        <v/>
      </c>
      <c r="D267" s="94"/>
      <c r="E267" s="95"/>
      <c r="F267" s="93" t="str">
        <f t="shared" si="13"/>
        <v/>
      </c>
      <c r="G267" s="94"/>
      <c r="H267" s="95"/>
      <c r="I267" s="93" t="str">
        <f t="shared" si="14"/>
        <v/>
      </c>
    </row>
    <row r="268" spans="1:9" s="93" customFormat="1" ht="16.5">
      <c r="A268" s="94"/>
      <c r="B268" s="95"/>
      <c r="C268" s="93" t="str">
        <f t="shared" si="12"/>
        <v/>
      </c>
      <c r="D268" s="94"/>
      <c r="E268" s="95"/>
      <c r="F268" s="93" t="str">
        <f t="shared" si="13"/>
        <v/>
      </c>
      <c r="G268" s="94"/>
      <c r="H268" s="95"/>
      <c r="I268" s="93" t="str">
        <f t="shared" si="14"/>
        <v/>
      </c>
    </row>
    <row r="269" spans="1:9" s="93" customFormat="1" ht="16.5">
      <c r="A269" s="94"/>
      <c r="B269" s="95"/>
      <c r="C269" s="93" t="str">
        <f t="shared" si="12"/>
        <v/>
      </c>
      <c r="D269" s="94"/>
      <c r="E269" s="95"/>
      <c r="F269" s="93" t="str">
        <f t="shared" si="13"/>
        <v/>
      </c>
      <c r="G269" s="94"/>
      <c r="H269" s="95"/>
      <c r="I269" s="93" t="str">
        <f t="shared" si="14"/>
        <v/>
      </c>
    </row>
    <row r="270" spans="1:9" s="93" customFormat="1" ht="16.5">
      <c r="A270" s="94"/>
      <c r="B270" s="95"/>
      <c r="C270" s="93" t="str">
        <f t="shared" si="12"/>
        <v/>
      </c>
      <c r="D270" s="94"/>
      <c r="E270" s="95"/>
      <c r="F270" s="93" t="str">
        <f t="shared" si="13"/>
        <v/>
      </c>
      <c r="G270" s="94"/>
      <c r="H270" s="95"/>
      <c r="I270" s="93" t="str">
        <f t="shared" si="14"/>
        <v/>
      </c>
    </row>
    <row r="271" spans="1:9" s="93" customFormat="1" ht="16.5">
      <c r="A271" s="94"/>
      <c r="B271" s="95"/>
      <c r="C271" s="93" t="str">
        <f t="shared" si="12"/>
        <v/>
      </c>
      <c r="D271" s="94"/>
      <c r="E271" s="95"/>
      <c r="F271" s="93" t="str">
        <f t="shared" si="13"/>
        <v/>
      </c>
      <c r="G271" s="94"/>
      <c r="H271" s="95"/>
      <c r="I271" s="93" t="str">
        <f t="shared" si="14"/>
        <v/>
      </c>
    </row>
    <row r="272" spans="1:9" s="93" customFormat="1" ht="16.5">
      <c r="A272" s="94"/>
      <c r="B272" s="95"/>
      <c r="C272" s="93" t="str">
        <f t="shared" si="12"/>
        <v/>
      </c>
      <c r="D272" s="94"/>
      <c r="E272" s="95"/>
      <c r="F272" s="93" t="str">
        <f t="shared" si="13"/>
        <v/>
      </c>
      <c r="G272" s="94"/>
      <c r="H272" s="95"/>
      <c r="I272" s="93" t="str">
        <f t="shared" si="14"/>
        <v/>
      </c>
    </row>
    <row r="273" spans="1:9" s="93" customFormat="1" ht="16.5">
      <c r="A273" s="94"/>
      <c r="B273" s="95"/>
      <c r="C273" s="93" t="str">
        <f t="shared" si="12"/>
        <v/>
      </c>
      <c r="D273" s="94"/>
      <c r="E273" s="95"/>
      <c r="F273" s="93" t="str">
        <f t="shared" si="13"/>
        <v/>
      </c>
      <c r="G273" s="94"/>
      <c r="H273" s="95"/>
      <c r="I273" s="93" t="str">
        <f t="shared" si="14"/>
        <v/>
      </c>
    </row>
    <row r="274" spans="1:9" s="93" customFormat="1" ht="16.5">
      <c r="A274" s="94"/>
      <c r="B274" s="95"/>
      <c r="C274" s="93" t="str">
        <f t="shared" si="12"/>
        <v/>
      </c>
      <c r="D274" s="94"/>
      <c r="E274" s="95"/>
      <c r="F274" s="93" t="str">
        <f t="shared" si="13"/>
        <v/>
      </c>
      <c r="G274" s="94"/>
      <c r="H274" s="95"/>
      <c r="I274" s="93" t="str">
        <f t="shared" si="14"/>
        <v/>
      </c>
    </row>
    <row r="275" spans="1:9" s="93" customFormat="1" ht="16.5">
      <c r="A275" s="94"/>
      <c r="B275" s="95"/>
      <c r="C275" s="93" t="str">
        <f t="shared" si="12"/>
        <v/>
      </c>
      <c r="D275" s="94"/>
      <c r="E275" s="95"/>
      <c r="F275" s="93" t="str">
        <f t="shared" si="13"/>
        <v/>
      </c>
      <c r="G275" s="94"/>
      <c r="H275" s="95"/>
      <c r="I275" s="93" t="str">
        <f t="shared" si="14"/>
        <v/>
      </c>
    </row>
    <row r="276" spans="1:9" s="93" customFormat="1" ht="16.5">
      <c r="A276" s="94"/>
      <c r="B276" s="95"/>
      <c r="C276" s="93" t="str">
        <f t="shared" si="12"/>
        <v/>
      </c>
      <c r="D276" s="94"/>
      <c r="E276" s="95"/>
      <c r="F276" s="93" t="str">
        <f t="shared" si="13"/>
        <v/>
      </c>
      <c r="G276" s="94"/>
      <c r="H276" s="95"/>
      <c r="I276" s="93" t="str">
        <f t="shared" si="14"/>
        <v/>
      </c>
    </row>
    <row r="277" spans="1:9" s="93" customFormat="1" ht="16.5">
      <c r="A277" s="94"/>
      <c r="B277" s="95"/>
      <c r="C277" s="93" t="str">
        <f t="shared" si="12"/>
        <v/>
      </c>
      <c r="D277" s="94"/>
      <c r="E277" s="95"/>
      <c r="F277" s="93" t="str">
        <f t="shared" si="13"/>
        <v/>
      </c>
      <c r="G277" s="94"/>
      <c r="H277" s="95"/>
      <c r="I277" s="93" t="str">
        <f t="shared" si="14"/>
        <v/>
      </c>
    </row>
    <row r="278" spans="1:9" s="93" customFormat="1" ht="16.5">
      <c r="A278" s="94"/>
      <c r="B278" s="95"/>
      <c r="C278" s="93" t="str">
        <f t="shared" si="12"/>
        <v/>
      </c>
      <c r="D278" s="94"/>
      <c r="E278" s="95"/>
      <c r="F278" s="93" t="str">
        <f t="shared" si="13"/>
        <v/>
      </c>
      <c r="G278" s="94"/>
      <c r="H278" s="95"/>
      <c r="I278" s="93" t="str">
        <f t="shared" si="14"/>
        <v/>
      </c>
    </row>
    <row r="279" spans="1:9" s="93" customFormat="1" ht="16.5">
      <c r="A279" s="94"/>
      <c r="B279" s="95"/>
      <c r="C279" s="93" t="str">
        <f t="shared" si="12"/>
        <v/>
      </c>
      <c r="D279" s="94"/>
      <c r="E279" s="95"/>
      <c r="F279" s="93" t="str">
        <f t="shared" si="13"/>
        <v/>
      </c>
      <c r="G279" s="94"/>
      <c r="H279" s="95"/>
      <c r="I279" s="93" t="str">
        <f t="shared" si="14"/>
        <v/>
      </c>
    </row>
    <row r="280" spans="1:9" s="93" customFormat="1" ht="16.5">
      <c r="A280" s="94"/>
      <c r="B280" s="95"/>
      <c r="C280" s="93" t="str">
        <f t="shared" si="12"/>
        <v/>
      </c>
      <c r="D280" s="94"/>
      <c r="E280" s="95"/>
      <c r="F280" s="93" t="str">
        <f t="shared" si="13"/>
        <v/>
      </c>
      <c r="G280" s="94"/>
      <c r="H280" s="95"/>
      <c r="I280" s="93" t="str">
        <f t="shared" si="14"/>
        <v/>
      </c>
    </row>
    <row r="281" spans="1:9" s="93" customFormat="1" ht="16.5">
      <c r="A281" s="94"/>
      <c r="B281" s="95"/>
      <c r="C281" s="93" t="str">
        <f t="shared" si="12"/>
        <v/>
      </c>
      <c r="D281" s="94"/>
      <c r="E281" s="95"/>
      <c r="F281" s="93" t="str">
        <f t="shared" si="13"/>
        <v/>
      </c>
      <c r="G281" s="94"/>
      <c r="H281" s="95"/>
      <c r="I281" s="93" t="str">
        <f t="shared" si="14"/>
        <v/>
      </c>
    </row>
    <row r="282" spans="1:9" s="93" customFormat="1" ht="16.5">
      <c r="A282" s="94"/>
      <c r="B282" s="95"/>
      <c r="C282" s="93" t="str">
        <f t="shared" si="12"/>
        <v/>
      </c>
      <c r="D282" s="94"/>
      <c r="E282" s="95"/>
      <c r="F282" s="93" t="str">
        <f t="shared" si="13"/>
        <v/>
      </c>
      <c r="G282" s="94"/>
      <c r="H282" s="95"/>
      <c r="I282" s="93" t="str">
        <f t="shared" si="14"/>
        <v/>
      </c>
    </row>
    <row r="283" spans="1:9" s="93" customFormat="1" ht="16.5">
      <c r="A283" s="94"/>
      <c r="B283" s="95"/>
      <c r="C283" s="93" t="str">
        <f t="shared" si="12"/>
        <v/>
      </c>
      <c r="D283" s="94"/>
      <c r="E283" s="95"/>
      <c r="F283" s="93" t="str">
        <f t="shared" si="13"/>
        <v/>
      </c>
      <c r="G283" s="94"/>
      <c r="H283" s="95"/>
      <c r="I283" s="93" t="str">
        <f t="shared" si="14"/>
        <v/>
      </c>
    </row>
    <row r="284" spans="1:9" s="93" customFormat="1" ht="16.5">
      <c r="A284" s="94"/>
      <c r="B284" s="95"/>
      <c r="C284" s="93" t="str">
        <f t="shared" si="12"/>
        <v/>
      </c>
      <c r="D284" s="94"/>
      <c r="E284" s="95"/>
      <c r="F284" s="93" t="str">
        <f t="shared" si="13"/>
        <v/>
      </c>
      <c r="G284" s="94"/>
      <c r="H284" s="95"/>
      <c r="I284" s="93" t="str">
        <f t="shared" si="14"/>
        <v/>
      </c>
    </row>
    <row r="285" spans="1:9" s="93" customFormat="1" ht="16.5">
      <c r="A285" s="94"/>
      <c r="B285" s="95"/>
      <c r="C285" s="93" t="str">
        <f t="shared" si="12"/>
        <v/>
      </c>
      <c r="D285" s="94"/>
      <c r="E285" s="95"/>
      <c r="F285" s="93" t="str">
        <f t="shared" si="13"/>
        <v/>
      </c>
      <c r="G285" s="94"/>
      <c r="H285" s="95"/>
      <c r="I285" s="93" t="str">
        <f t="shared" si="14"/>
        <v/>
      </c>
    </row>
    <row r="286" spans="1:9" s="93" customFormat="1" ht="16.5">
      <c r="A286" s="94"/>
      <c r="B286" s="95"/>
      <c r="C286" s="93" t="str">
        <f t="shared" si="12"/>
        <v/>
      </c>
      <c r="D286" s="94"/>
      <c r="E286" s="95"/>
      <c r="F286" s="93" t="str">
        <f t="shared" si="13"/>
        <v/>
      </c>
      <c r="G286" s="94"/>
      <c r="H286" s="95"/>
      <c r="I286" s="93" t="str">
        <f t="shared" si="14"/>
        <v/>
      </c>
    </row>
    <row r="287" spans="1:9" s="93" customFormat="1" ht="16.5">
      <c r="A287" s="94"/>
      <c r="B287" s="95"/>
      <c r="C287" s="93" t="str">
        <f t="shared" si="12"/>
        <v/>
      </c>
      <c r="D287" s="94"/>
      <c r="E287" s="95"/>
      <c r="F287" s="93" t="str">
        <f t="shared" si="13"/>
        <v/>
      </c>
      <c r="G287" s="94"/>
      <c r="H287" s="95"/>
      <c r="I287" s="93" t="str">
        <f t="shared" si="14"/>
        <v/>
      </c>
    </row>
    <row r="288" spans="1:9" s="93" customFormat="1" ht="16.5">
      <c r="A288" s="94"/>
      <c r="B288" s="95"/>
      <c r="C288" s="93" t="str">
        <f t="shared" si="12"/>
        <v/>
      </c>
      <c r="D288" s="94"/>
      <c r="E288" s="95"/>
      <c r="F288" s="93" t="str">
        <f t="shared" si="13"/>
        <v/>
      </c>
      <c r="G288" s="94"/>
      <c r="H288" s="95"/>
      <c r="I288" s="93" t="str">
        <f t="shared" si="14"/>
        <v/>
      </c>
    </row>
    <row r="289" spans="1:9" s="93" customFormat="1" ht="16.5">
      <c r="A289" s="94"/>
      <c r="B289" s="95"/>
      <c r="C289" s="93" t="str">
        <f t="shared" si="12"/>
        <v/>
      </c>
      <c r="D289" s="94"/>
      <c r="E289" s="95"/>
      <c r="F289" s="93" t="str">
        <f t="shared" si="13"/>
        <v/>
      </c>
      <c r="G289" s="94"/>
      <c r="H289" s="95"/>
      <c r="I289" s="93" t="str">
        <f t="shared" si="14"/>
        <v/>
      </c>
    </row>
    <row r="290" spans="1:9" s="93" customFormat="1" ht="16.5">
      <c r="A290" s="94"/>
      <c r="B290" s="98"/>
      <c r="C290" s="93" t="str">
        <f t="shared" si="12"/>
        <v/>
      </c>
      <c r="D290" s="94"/>
      <c r="E290" s="98"/>
      <c r="F290" s="93" t="str">
        <f t="shared" si="13"/>
        <v/>
      </c>
      <c r="G290" s="94"/>
      <c r="H290" s="98"/>
      <c r="I290" s="93" t="str">
        <f t="shared" si="14"/>
        <v/>
      </c>
    </row>
    <row r="291" spans="1:9" s="93" customFormat="1" ht="16.5">
      <c r="A291" s="94"/>
      <c r="B291" s="98"/>
      <c r="C291" s="93" t="str">
        <f t="shared" si="12"/>
        <v/>
      </c>
      <c r="D291" s="94"/>
      <c r="E291" s="98"/>
      <c r="F291" s="93" t="str">
        <f t="shared" si="13"/>
        <v/>
      </c>
      <c r="G291" s="94"/>
      <c r="H291" s="98"/>
      <c r="I291" s="93" t="str">
        <f t="shared" si="14"/>
        <v/>
      </c>
    </row>
    <row r="292" spans="1:9" s="93" customFormat="1" ht="16.5">
      <c r="A292" s="94"/>
      <c r="B292" s="98"/>
      <c r="C292" s="93" t="str">
        <f t="shared" si="12"/>
        <v/>
      </c>
      <c r="D292" s="94"/>
      <c r="E292" s="98"/>
      <c r="F292" s="93" t="str">
        <f t="shared" si="13"/>
        <v/>
      </c>
      <c r="G292" s="94"/>
      <c r="H292" s="98"/>
      <c r="I292" s="93" t="str">
        <f t="shared" si="14"/>
        <v/>
      </c>
    </row>
    <row r="293" spans="1:9" s="93" customFormat="1" ht="16.5">
      <c r="A293" s="93" t="s">
        <v>1341</v>
      </c>
      <c r="D293" s="93" t="s">
        <v>1341</v>
      </c>
      <c r="G293" s="93" t="s">
        <v>1341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75"/>
  <sheetViews>
    <sheetView zoomScaleNormal="100" workbookViewId="0">
      <pane ySplit="1" topLeftCell="A71" activePane="bottomLeft" state="frozen"/>
      <selection pane="bottomLeft" activeCell="G5" sqref="G5"/>
    </sheetView>
  </sheetViews>
  <sheetFormatPr defaultColWidth="73.375" defaultRowHeight="12"/>
  <cols>
    <col min="1" max="1" width="7.625" style="85" bestFit="1" customWidth="1"/>
    <col min="2" max="2" width="8.375" style="86" bestFit="1" customWidth="1"/>
    <col min="3" max="3" width="15.75" style="87" customWidth="1"/>
    <col min="4" max="4" width="47.125" style="88" customWidth="1"/>
    <col min="5" max="5" width="56.125" style="88" customWidth="1"/>
    <col min="6" max="6" width="57.375" style="85" customWidth="1"/>
    <col min="7" max="26" width="73.375" style="85"/>
    <col min="27" max="27" width="73.375" style="85" hidden="1" customWidth="1"/>
    <col min="28" max="16384" width="73.375" style="85"/>
  </cols>
  <sheetData>
    <row r="1" spans="1:6" s="83" customFormat="1">
      <c r="A1" s="83" t="s">
        <v>494</v>
      </c>
      <c r="B1" s="83" t="s">
        <v>495</v>
      </c>
      <c r="C1" s="84" t="s">
        <v>496</v>
      </c>
      <c r="D1" s="84" t="s">
        <v>64</v>
      </c>
      <c r="E1" s="84" t="s">
        <v>65</v>
      </c>
      <c r="F1" s="83" t="s">
        <v>1268</v>
      </c>
    </row>
    <row r="2" spans="1:6" ht="84">
      <c r="A2" s="85" t="s">
        <v>1256</v>
      </c>
      <c r="B2" s="86">
        <v>1</v>
      </c>
      <c r="C2" s="87" t="s">
        <v>1009</v>
      </c>
      <c r="D2" s="88" t="s">
        <v>497</v>
      </c>
      <c r="E2" s="88" t="s">
        <v>581</v>
      </c>
      <c r="F2" s="88" t="s">
        <v>581</v>
      </c>
    </row>
    <row r="3" spans="1:6" ht="96">
      <c r="A3" s="197">
        <v>600</v>
      </c>
      <c r="B3" s="86">
        <v>2</v>
      </c>
      <c r="C3" s="87" t="s">
        <v>1009</v>
      </c>
      <c r="D3" s="88" t="s">
        <v>490</v>
      </c>
      <c r="E3" s="88" t="s">
        <v>582</v>
      </c>
      <c r="F3" s="88" t="s">
        <v>582</v>
      </c>
    </row>
    <row r="4" spans="1:6" ht="60">
      <c r="B4" s="86">
        <v>3</v>
      </c>
      <c r="C4" s="87" t="s">
        <v>1009</v>
      </c>
      <c r="D4" s="88" t="s">
        <v>498</v>
      </c>
      <c r="E4" s="88" t="s">
        <v>583</v>
      </c>
      <c r="F4" s="88" t="s">
        <v>583</v>
      </c>
    </row>
    <row r="5" spans="1:6" ht="60">
      <c r="B5" s="86">
        <v>4</v>
      </c>
      <c r="C5" s="87" t="s">
        <v>1009</v>
      </c>
      <c r="D5" s="88" t="s">
        <v>499</v>
      </c>
      <c r="E5" s="88" t="s">
        <v>584</v>
      </c>
      <c r="F5" s="88" t="s">
        <v>584</v>
      </c>
    </row>
    <row r="6" spans="1:6" ht="60">
      <c r="B6" s="86">
        <v>5</v>
      </c>
      <c r="C6" s="87" t="s">
        <v>1009</v>
      </c>
      <c r="D6" s="88" t="s">
        <v>500</v>
      </c>
      <c r="E6" s="88" t="s">
        <v>585</v>
      </c>
      <c r="F6" s="88" t="s">
        <v>585</v>
      </c>
    </row>
    <row r="7" spans="1:6" ht="48">
      <c r="B7" s="86">
        <v>6</v>
      </c>
      <c r="C7" s="87" t="s">
        <v>1009</v>
      </c>
      <c r="D7" s="88" t="s">
        <v>501</v>
      </c>
      <c r="E7" s="88" t="s">
        <v>586</v>
      </c>
      <c r="F7" s="88" t="s">
        <v>586</v>
      </c>
    </row>
    <row r="8" spans="1:6">
      <c r="B8" s="86">
        <v>7</v>
      </c>
      <c r="C8" s="87" t="s">
        <v>1009</v>
      </c>
      <c r="D8" s="88" t="s">
        <v>492</v>
      </c>
      <c r="E8" s="88" t="s">
        <v>587</v>
      </c>
      <c r="F8" s="88" t="s">
        <v>587</v>
      </c>
    </row>
    <row r="9" spans="1:6" ht="48">
      <c r="B9" s="86">
        <v>8</v>
      </c>
      <c r="C9" s="87" t="s">
        <v>1171</v>
      </c>
      <c r="D9" s="88" t="s">
        <v>1168</v>
      </c>
      <c r="E9" s="88" t="s">
        <v>1086</v>
      </c>
      <c r="F9" s="88" t="s">
        <v>1086</v>
      </c>
    </row>
    <row r="10" spans="1:6" ht="48">
      <c r="B10" s="86">
        <v>9</v>
      </c>
      <c r="C10" s="87" t="s">
        <v>1171</v>
      </c>
      <c r="D10" s="88" t="s">
        <v>1149</v>
      </c>
      <c r="E10" s="88" t="s">
        <v>1110</v>
      </c>
      <c r="F10" s="88" t="s">
        <v>1110</v>
      </c>
    </row>
    <row r="11" spans="1:6" ht="60">
      <c r="B11" s="86">
        <v>10</v>
      </c>
      <c r="C11" s="87" t="s">
        <v>1171</v>
      </c>
      <c r="D11" s="88" t="s">
        <v>1169</v>
      </c>
      <c r="E11" s="88" t="s">
        <v>1151</v>
      </c>
      <c r="F11" s="88" t="s">
        <v>1151</v>
      </c>
    </row>
    <row r="12" spans="1:6" ht="48">
      <c r="B12" s="86">
        <v>11</v>
      </c>
      <c r="C12" s="87" t="s">
        <v>1171</v>
      </c>
      <c r="D12" s="88" t="s">
        <v>1154</v>
      </c>
      <c r="E12" s="88" t="s">
        <v>1153</v>
      </c>
      <c r="F12" s="88" t="s">
        <v>1153</v>
      </c>
    </row>
    <row r="13" spans="1:6" ht="72">
      <c r="B13" s="86">
        <v>12</v>
      </c>
      <c r="C13" s="87" t="s">
        <v>1171</v>
      </c>
      <c r="D13" s="88" t="s">
        <v>1155</v>
      </c>
      <c r="E13" s="88" t="s">
        <v>1114</v>
      </c>
      <c r="F13" s="88" t="s">
        <v>1114</v>
      </c>
    </row>
    <row r="14" spans="1:6">
      <c r="B14" s="86">
        <v>101</v>
      </c>
      <c r="D14" s="88" t="s">
        <v>66</v>
      </c>
      <c r="E14" s="88" t="s">
        <v>588</v>
      </c>
      <c r="F14" s="88" t="s">
        <v>588</v>
      </c>
    </row>
    <row r="15" spans="1:6">
      <c r="B15" s="86">
        <v>102</v>
      </c>
      <c r="D15" s="88" t="s">
        <v>67</v>
      </c>
      <c r="E15" s="88" t="s">
        <v>589</v>
      </c>
      <c r="F15" s="88" t="s">
        <v>589</v>
      </c>
    </row>
    <row r="16" spans="1:6">
      <c r="B16" s="86">
        <v>103</v>
      </c>
      <c r="D16" s="88" t="s">
        <v>68</v>
      </c>
      <c r="E16" s="88" t="s">
        <v>590</v>
      </c>
      <c r="F16" s="88" t="s">
        <v>590</v>
      </c>
    </row>
    <row r="17" spans="1:6">
      <c r="B17" s="86">
        <v>104</v>
      </c>
      <c r="D17" s="88" t="s">
        <v>69</v>
      </c>
      <c r="E17" s="88" t="s">
        <v>591</v>
      </c>
      <c r="F17" s="88" t="s">
        <v>591</v>
      </c>
    </row>
    <row r="18" spans="1:6">
      <c r="B18" s="86">
        <v>105</v>
      </c>
      <c r="D18" s="88" t="s">
        <v>70</v>
      </c>
      <c r="E18" s="88" t="s">
        <v>592</v>
      </c>
      <c r="F18" s="88" t="s">
        <v>592</v>
      </c>
    </row>
    <row r="19" spans="1:6" ht="24">
      <c r="B19" s="86">
        <v>106</v>
      </c>
      <c r="D19" s="88" t="s">
        <v>413</v>
      </c>
      <c r="E19" s="88" t="s">
        <v>593</v>
      </c>
      <c r="F19" s="88" t="s">
        <v>593</v>
      </c>
    </row>
    <row r="20" spans="1:6" ht="36">
      <c r="B20" s="86">
        <v>107</v>
      </c>
      <c r="D20" s="88" t="s">
        <v>414</v>
      </c>
      <c r="E20" s="88" t="s">
        <v>594</v>
      </c>
      <c r="F20" s="88" t="s">
        <v>594</v>
      </c>
    </row>
    <row r="21" spans="1:6" ht="36">
      <c r="B21" s="86">
        <v>108</v>
      </c>
      <c r="D21" s="88" t="s">
        <v>415</v>
      </c>
      <c r="E21" s="88" t="s">
        <v>595</v>
      </c>
      <c r="F21" s="88" t="s">
        <v>595</v>
      </c>
    </row>
    <row r="22" spans="1:6">
      <c r="B22" s="86">
        <v>109</v>
      </c>
      <c r="D22" s="88" t="s">
        <v>71</v>
      </c>
      <c r="E22" s="88" t="s">
        <v>596</v>
      </c>
      <c r="F22" s="88" t="s">
        <v>596</v>
      </c>
    </row>
    <row r="23" spans="1:6">
      <c r="B23" s="86">
        <v>110</v>
      </c>
      <c r="D23" s="88" t="s">
        <v>72</v>
      </c>
      <c r="E23" s="88" t="s">
        <v>597</v>
      </c>
      <c r="F23" s="88" t="s">
        <v>597</v>
      </c>
    </row>
    <row r="24" spans="1:6">
      <c r="B24" s="86">
        <v>111</v>
      </c>
      <c r="D24" s="88" t="s">
        <v>73</v>
      </c>
      <c r="E24" s="88" t="s">
        <v>598</v>
      </c>
      <c r="F24" s="88" t="s">
        <v>598</v>
      </c>
    </row>
    <row r="25" spans="1:6">
      <c r="A25" s="198"/>
      <c r="B25" s="86">
        <v>112</v>
      </c>
      <c r="C25" s="199" t="s">
        <v>485</v>
      </c>
      <c r="D25" s="197" t="s">
        <v>502</v>
      </c>
      <c r="E25" s="197" t="s">
        <v>572</v>
      </c>
      <c r="F25" s="197" t="s">
        <v>572</v>
      </c>
    </row>
    <row r="26" spans="1:6">
      <c r="B26" s="86">
        <v>113</v>
      </c>
      <c r="D26" s="88" t="s">
        <v>74</v>
      </c>
      <c r="E26" s="88" t="s">
        <v>572</v>
      </c>
      <c r="F26" s="88" t="s">
        <v>572</v>
      </c>
    </row>
    <row r="27" spans="1:6">
      <c r="B27" s="86">
        <v>114</v>
      </c>
      <c r="C27" s="87" t="s">
        <v>1084</v>
      </c>
      <c r="D27" s="88" t="s">
        <v>1120</v>
      </c>
      <c r="E27" s="88" t="s">
        <v>1093</v>
      </c>
      <c r="F27" s="88" t="s">
        <v>1093</v>
      </c>
    </row>
    <row r="28" spans="1:6">
      <c r="B28" s="86">
        <v>115</v>
      </c>
      <c r="D28" s="88" t="s">
        <v>1206</v>
      </c>
      <c r="E28" s="88" t="s">
        <v>1207</v>
      </c>
      <c r="F28" s="88" t="s">
        <v>1207</v>
      </c>
    </row>
    <row r="29" spans="1:6">
      <c r="B29" s="86">
        <v>116</v>
      </c>
      <c r="D29" s="88" t="s">
        <v>75</v>
      </c>
      <c r="E29" s="88" t="s">
        <v>599</v>
      </c>
      <c r="F29" s="88" t="s">
        <v>599</v>
      </c>
    </row>
    <row r="30" spans="1:6">
      <c r="B30" s="86">
        <v>117</v>
      </c>
      <c r="D30" s="88" t="s">
        <v>76</v>
      </c>
      <c r="E30" s="88" t="s">
        <v>600</v>
      </c>
      <c r="F30" s="88" t="s">
        <v>600</v>
      </c>
    </row>
    <row r="31" spans="1:6" ht="24">
      <c r="B31" s="86">
        <v>118</v>
      </c>
      <c r="D31" s="88" t="s">
        <v>416</v>
      </c>
      <c r="E31" s="88" t="s">
        <v>601</v>
      </c>
      <c r="F31" s="88" t="s">
        <v>601</v>
      </c>
    </row>
    <row r="32" spans="1:6">
      <c r="B32" s="86">
        <v>119</v>
      </c>
      <c r="D32" s="88" t="s">
        <v>1044</v>
      </c>
      <c r="E32" s="88" t="s">
        <v>1045</v>
      </c>
      <c r="F32" s="88" t="s">
        <v>1045</v>
      </c>
    </row>
    <row r="33" spans="2:6">
      <c r="B33" s="86">
        <v>120</v>
      </c>
      <c r="D33" s="88" t="s">
        <v>1021</v>
      </c>
      <c r="E33" s="88" t="s">
        <v>1022</v>
      </c>
      <c r="F33" s="88" t="s">
        <v>1022</v>
      </c>
    </row>
    <row r="34" spans="2:6" ht="24">
      <c r="B34" s="86">
        <v>121</v>
      </c>
      <c r="D34" s="88" t="s">
        <v>77</v>
      </c>
      <c r="E34" s="88" t="s">
        <v>602</v>
      </c>
      <c r="F34" s="88" t="s">
        <v>602</v>
      </c>
    </row>
    <row r="35" spans="2:6">
      <c r="B35" s="86">
        <v>122</v>
      </c>
      <c r="D35" s="88" t="s">
        <v>78</v>
      </c>
      <c r="E35" s="88" t="s">
        <v>603</v>
      </c>
      <c r="F35" s="88" t="s">
        <v>603</v>
      </c>
    </row>
    <row r="36" spans="2:6">
      <c r="B36" s="86">
        <v>123</v>
      </c>
      <c r="D36" s="88" t="s">
        <v>411</v>
      </c>
      <c r="E36" s="88" t="s">
        <v>556</v>
      </c>
      <c r="F36" s="88" t="s">
        <v>556</v>
      </c>
    </row>
    <row r="37" spans="2:6">
      <c r="B37" s="86">
        <v>124</v>
      </c>
      <c r="D37" s="88" t="s">
        <v>79</v>
      </c>
      <c r="E37" s="88" t="s">
        <v>604</v>
      </c>
      <c r="F37" s="88" t="s">
        <v>604</v>
      </c>
    </row>
    <row r="38" spans="2:6" ht="24">
      <c r="B38" s="86">
        <v>125</v>
      </c>
      <c r="D38" s="88" t="s">
        <v>1048</v>
      </c>
      <c r="E38" s="88" t="s">
        <v>1049</v>
      </c>
      <c r="F38" s="88" t="s">
        <v>1049</v>
      </c>
    </row>
    <row r="39" spans="2:6" ht="24">
      <c r="B39" s="86">
        <v>126</v>
      </c>
      <c r="D39" s="88" t="s">
        <v>1047</v>
      </c>
      <c r="E39" s="88" t="s">
        <v>1046</v>
      </c>
      <c r="F39" s="88" t="s">
        <v>1046</v>
      </c>
    </row>
    <row r="40" spans="2:6" ht="24">
      <c r="B40" s="86">
        <v>127</v>
      </c>
      <c r="D40" s="88" t="s">
        <v>80</v>
      </c>
      <c r="E40" s="88" t="s">
        <v>605</v>
      </c>
      <c r="F40" s="88" t="s">
        <v>605</v>
      </c>
    </row>
    <row r="41" spans="2:6" ht="24">
      <c r="B41" s="86">
        <v>128</v>
      </c>
      <c r="D41" s="88" t="s">
        <v>81</v>
      </c>
      <c r="E41" s="88" t="s">
        <v>606</v>
      </c>
      <c r="F41" s="88" t="s">
        <v>606</v>
      </c>
    </row>
    <row r="42" spans="2:6" ht="24">
      <c r="B42" s="86">
        <v>129</v>
      </c>
      <c r="D42" s="88" t="s">
        <v>412</v>
      </c>
      <c r="E42" s="88" t="s">
        <v>557</v>
      </c>
      <c r="F42" s="88" t="s">
        <v>557</v>
      </c>
    </row>
    <row r="43" spans="2:6">
      <c r="B43" s="86">
        <v>130</v>
      </c>
      <c r="D43" s="88" t="s">
        <v>82</v>
      </c>
      <c r="E43" s="88" t="s">
        <v>607</v>
      </c>
      <c r="F43" s="88" t="s">
        <v>607</v>
      </c>
    </row>
    <row r="44" spans="2:6">
      <c r="B44" s="86">
        <v>131</v>
      </c>
      <c r="D44" s="88" t="s">
        <v>417</v>
      </c>
      <c r="E44" s="88" t="s">
        <v>608</v>
      </c>
      <c r="F44" s="88" t="s">
        <v>608</v>
      </c>
    </row>
    <row r="45" spans="2:6">
      <c r="B45" s="86">
        <v>132</v>
      </c>
      <c r="D45" s="88" t="s">
        <v>83</v>
      </c>
      <c r="E45" s="88" t="s">
        <v>609</v>
      </c>
      <c r="F45" s="88" t="s">
        <v>609</v>
      </c>
    </row>
    <row r="46" spans="2:6">
      <c r="B46" s="86">
        <v>133</v>
      </c>
      <c r="D46" s="88" t="s">
        <v>1359</v>
      </c>
      <c r="E46" s="88" t="s">
        <v>610</v>
      </c>
      <c r="F46" s="88" t="s">
        <v>610</v>
      </c>
    </row>
    <row r="47" spans="2:6">
      <c r="B47" s="86">
        <v>134</v>
      </c>
      <c r="D47" s="88" t="s">
        <v>1358</v>
      </c>
      <c r="E47" s="88" t="s">
        <v>611</v>
      </c>
      <c r="F47" s="88" t="s">
        <v>611</v>
      </c>
    </row>
    <row r="48" spans="2:6">
      <c r="B48" s="86">
        <v>135</v>
      </c>
      <c r="D48" s="197" t="s">
        <v>1357</v>
      </c>
      <c r="E48" s="200">
        <v>43435</v>
      </c>
      <c r="F48" s="200">
        <v>43435</v>
      </c>
    </row>
    <row r="49" spans="2:6">
      <c r="B49" s="86">
        <v>136</v>
      </c>
      <c r="D49" s="197" t="s">
        <v>418</v>
      </c>
      <c r="E49" s="200">
        <v>43465</v>
      </c>
      <c r="F49" s="200">
        <v>43465</v>
      </c>
    </row>
    <row r="50" spans="2:6">
      <c r="B50" s="86">
        <v>137</v>
      </c>
      <c r="D50" s="88" t="s">
        <v>84</v>
      </c>
      <c r="E50" s="88" t="s">
        <v>84</v>
      </c>
      <c r="F50" s="88" t="s">
        <v>84</v>
      </c>
    </row>
    <row r="51" spans="2:6">
      <c r="B51" s="86">
        <v>138</v>
      </c>
      <c r="D51" s="88" t="s">
        <v>85</v>
      </c>
      <c r="E51" s="88" t="s">
        <v>612</v>
      </c>
      <c r="F51" s="88" t="s">
        <v>612</v>
      </c>
    </row>
    <row r="52" spans="2:6">
      <c r="B52" s="86">
        <v>139</v>
      </c>
      <c r="C52" s="87" t="s">
        <v>503</v>
      </c>
      <c r="D52" s="88" t="s">
        <v>504</v>
      </c>
      <c r="E52" s="88" t="s">
        <v>505</v>
      </c>
      <c r="F52" s="88" t="s">
        <v>505</v>
      </c>
    </row>
    <row r="53" spans="2:6" ht="24">
      <c r="B53" s="86">
        <v>140</v>
      </c>
      <c r="D53" s="88" t="s">
        <v>86</v>
      </c>
      <c r="E53" s="88" t="s">
        <v>613</v>
      </c>
      <c r="F53" s="88" t="s">
        <v>613</v>
      </c>
    </row>
    <row r="54" spans="2:6" ht="24">
      <c r="B54" s="86">
        <v>141</v>
      </c>
      <c r="D54" s="88" t="s">
        <v>87</v>
      </c>
      <c r="E54" s="88" t="s">
        <v>614</v>
      </c>
      <c r="F54" s="88" t="s">
        <v>614</v>
      </c>
    </row>
    <row r="55" spans="2:6">
      <c r="B55" s="86">
        <v>142</v>
      </c>
      <c r="D55" s="88" t="s">
        <v>1011</v>
      </c>
      <c r="E55" s="88" t="s">
        <v>1012</v>
      </c>
      <c r="F55" s="88" t="s">
        <v>1012</v>
      </c>
    </row>
    <row r="56" spans="2:6">
      <c r="B56" s="86">
        <v>143</v>
      </c>
      <c r="C56" s="87" t="s">
        <v>580</v>
      </c>
      <c r="D56" s="85" t="s">
        <v>419</v>
      </c>
      <c r="E56" s="201" t="s">
        <v>569</v>
      </c>
      <c r="F56" s="201" t="s">
        <v>569</v>
      </c>
    </row>
    <row r="57" spans="2:6">
      <c r="B57" s="86">
        <v>144</v>
      </c>
      <c r="D57" s="88" t="s">
        <v>88</v>
      </c>
      <c r="E57" s="88" t="s">
        <v>615</v>
      </c>
      <c r="F57" s="88" t="s">
        <v>615</v>
      </c>
    </row>
    <row r="58" spans="2:6" ht="24">
      <c r="B58" s="86">
        <v>145</v>
      </c>
      <c r="D58" s="88" t="s">
        <v>89</v>
      </c>
      <c r="E58" s="88" t="s">
        <v>616</v>
      </c>
      <c r="F58" s="88" t="s">
        <v>616</v>
      </c>
    </row>
    <row r="59" spans="2:6">
      <c r="B59" s="86">
        <v>146</v>
      </c>
      <c r="D59" s="88" t="s">
        <v>90</v>
      </c>
      <c r="E59" s="88" t="s">
        <v>617</v>
      </c>
      <c r="F59" s="88" t="s">
        <v>617</v>
      </c>
    </row>
    <row r="60" spans="2:6" ht="24">
      <c r="B60" s="86">
        <v>147</v>
      </c>
      <c r="D60" s="88" t="s">
        <v>91</v>
      </c>
      <c r="E60" s="88" t="s">
        <v>618</v>
      </c>
      <c r="F60" s="88" t="s">
        <v>618</v>
      </c>
    </row>
    <row r="61" spans="2:6">
      <c r="B61" s="86">
        <v>148</v>
      </c>
      <c r="D61" s="88" t="s">
        <v>1013</v>
      </c>
      <c r="E61" s="88" t="s">
        <v>1014</v>
      </c>
      <c r="F61" s="88" t="s">
        <v>1014</v>
      </c>
    </row>
    <row r="62" spans="2:6">
      <c r="B62" s="86">
        <v>149</v>
      </c>
      <c r="D62" s="88" t="s">
        <v>1015</v>
      </c>
      <c r="E62" s="88" t="s">
        <v>1016</v>
      </c>
      <c r="F62" s="88" t="s">
        <v>1016</v>
      </c>
    </row>
    <row r="63" spans="2:6">
      <c r="B63" s="86">
        <v>150</v>
      </c>
      <c r="D63" s="88" t="s">
        <v>92</v>
      </c>
      <c r="E63" s="88" t="s">
        <v>619</v>
      </c>
      <c r="F63" s="88" t="s">
        <v>619</v>
      </c>
    </row>
    <row r="64" spans="2:6">
      <c r="B64" s="86">
        <v>151</v>
      </c>
      <c r="C64" s="87" t="s">
        <v>580</v>
      </c>
      <c r="D64" s="85" t="s">
        <v>420</v>
      </c>
      <c r="E64" s="201" t="s">
        <v>568</v>
      </c>
      <c r="F64" s="201" t="s">
        <v>568</v>
      </c>
    </row>
    <row r="65" spans="1:6">
      <c r="B65" s="86">
        <v>152</v>
      </c>
      <c r="D65" s="88" t="s">
        <v>93</v>
      </c>
      <c r="E65" s="88" t="s">
        <v>620</v>
      </c>
      <c r="F65" s="88" t="s">
        <v>620</v>
      </c>
    </row>
    <row r="66" spans="1:6">
      <c r="B66" s="86">
        <v>153</v>
      </c>
      <c r="D66" s="88" t="s">
        <v>94</v>
      </c>
      <c r="E66" s="88" t="s">
        <v>621</v>
      </c>
      <c r="F66" s="88" t="s">
        <v>621</v>
      </c>
    </row>
    <row r="67" spans="1:6">
      <c r="B67" s="86">
        <v>154</v>
      </c>
      <c r="D67" s="88" t="s">
        <v>95</v>
      </c>
      <c r="E67" s="88" t="s">
        <v>622</v>
      </c>
      <c r="F67" s="88" t="s">
        <v>622</v>
      </c>
    </row>
    <row r="68" spans="1:6" ht="24">
      <c r="B68" s="86">
        <v>155</v>
      </c>
      <c r="D68" s="88" t="s">
        <v>96</v>
      </c>
      <c r="E68" s="88" t="s">
        <v>623</v>
      </c>
      <c r="F68" s="88" t="s">
        <v>623</v>
      </c>
    </row>
    <row r="69" spans="1:6">
      <c r="B69" s="86">
        <v>156</v>
      </c>
      <c r="C69" s="87" t="s">
        <v>580</v>
      </c>
      <c r="D69" s="85" t="s">
        <v>578</v>
      </c>
      <c r="E69" s="201" t="s">
        <v>571</v>
      </c>
      <c r="F69" s="201" t="s">
        <v>571</v>
      </c>
    </row>
    <row r="70" spans="1:6">
      <c r="B70" s="86">
        <v>157</v>
      </c>
      <c r="C70" s="87" t="s">
        <v>580</v>
      </c>
      <c r="D70" s="85" t="s">
        <v>577</v>
      </c>
      <c r="E70" s="201" t="s">
        <v>570</v>
      </c>
      <c r="F70" s="201" t="s">
        <v>570</v>
      </c>
    </row>
    <row r="71" spans="1:6">
      <c r="B71" s="86">
        <v>158</v>
      </c>
      <c r="D71" s="88" t="s">
        <v>421</v>
      </c>
      <c r="E71" s="88" t="s">
        <v>624</v>
      </c>
      <c r="F71" s="88" t="s">
        <v>624</v>
      </c>
    </row>
    <row r="72" spans="1:6">
      <c r="A72" s="202"/>
      <c r="B72" s="86">
        <v>159</v>
      </c>
      <c r="C72" s="199" t="s">
        <v>485</v>
      </c>
      <c r="D72" s="197" t="s">
        <v>506</v>
      </c>
      <c r="E72" s="197" t="s">
        <v>625</v>
      </c>
      <c r="F72" s="197" t="s">
        <v>625</v>
      </c>
    </row>
    <row r="73" spans="1:6">
      <c r="B73" s="86">
        <v>160</v>
      </c>
      <c r="D73" s="88" t="s">
        <v>97</v>
      </c>
      <c r="E73" s="197" t="s">
        <v>626</v>
      </c>
      <c r="F73" s="197" t="s">
        <v>626</v>
      </c>
    </row>
    <row r="74" spans="1:6">
      <c r="B74" s="86">
        <v>161</v>
      </c>
      <c r="D74" s="88" t="s">
        <v>98</v>
      </c>
      <c r="E74" s="197" t="s">
        <v>627</v>
      </c>
      <c r="F74" s="197" t="s">
        <v>627</v>
      </c>
    </row>
    <row r="75" spans="1:6">
      <c r="B75" s="86">
        <v>162</v>
      </c>
      <c r="D75" s="88" t="s">
        <v>1037</v>
      </c>
      <c r="E75" s="88" t="s">
        <v>1032</v>
      </c>
      <c r="F75" s="88" t="s">
        <v>1032</v>
      </c>
    </row>
    <row r="76" spans="1:6">
      <c r="B76" s="86">
        <v>163</v>
      </c>
      <c r="D76" s="88" t="s">
        <v>1033</v>
      </c>
      <c r="E76" s="88" t="s">
        <v>1034</v>
      </c>
      <c r="F76" s="88" t="s">
        <v>1034</v>
      </c>
    </row>
    <row r="77" spans="1:6">
      <c r="B77" s="86">
        <v>164</v>
      </c>
      <c r="D77" s="88" t="s">
        <v>1030</v>
      </c>
      <c r="E77" s="88" t="s">
        <v>1031</v>
      </c>
      <c r="F77" s="88" t="s">
        <v>1031</v>
      </c>
    </row>
    <row r="78" spans="1:6">
      <c r="A78" s="202"/>
      <c r="B78" s="86">
        <v>165</v>
      </c>
      <c r="C78" s="199" t="s">
        <v>485</v>
      </c>
      <c r="D78" s="197" t="s">
        <v>507</v>
      </c>
      <c r="E78" s="197" t="s">
        <v>628</v>
      </c>
      <c r="F78" s="197" t="s">
        <v>628</v>
      </c>
    </row>
    <row r="79" spans="1:6">
      <c r="A79" s="202"/>
      <c r="B79" s="86">
        <v>166</v>
      </c>
      <c r="C79" s="199" t="s">
        <v>485</v>
      </c>
      <c r="D79" s="197" t="s">
        <v>508</v>
      </c>
      <c r="E79" s="197" t="s">
        <v>629</v>
      </c>
      <c r="F79" s="197" t="s">
        <v>629</v>
      </c>
    </row>
    <row r="80" spans="1:6">
      <c r="A80" s="202"/>
      <c r="B80" s="86">
        <v>167</v>
      </c>
      <c r="C80" s="199" t="s">
        <v>485</v>
      </c>
      <c r="D80" s="197" t="s">
        <v>509</v>
      </c>
      <c r="E80" s="197" t="s">
        <v>630</v>
      </c>
      <c r="F80" s="197" t="s">
        <v>630</v>
      </c>
    </row>
    <row r="81" spans="1:6">
      <c r="A81" s="202"/>
      <c r="B81" s="86">
        <v>168</v>
      </c>
      <c r="C81" s="199" t="s">
        <v>485</v>
      </c>
      <c r="D81" s="197" t="s">
        <v>493</v>
      </c>
      <c r="E81" s="197" t="s">
        <v>631</v>
      </c>
      <c r="F81" s="197" t="s">
        <v>631</v>
      </c>
    </row>
    <row r="82" spans="1:6">
      <c r="B82" s="86">
        <v>169</v>
      </c>
      <c r="D82" s="88" t="s">
        <v>99</v>
      </c>
      <c r="E82" s="88" t="s">
        <v>632</v>
      </c>
      <c r="F82" s="88" t="s">
        <v>632</v>
      </c>
    </row>
    <row r="83" spans="1:6">
      <c r="B83" s="86">
        <v>170</v>
      </c>
      <c r="D83" s="88" t="s">
        <v>100</v>
      </c>
      <c r="E83" s="88" t="s">
        <v>633</v>
      </c>
      <c r="F83" s="88" t="s">
        <v>633</v>
      </c>
    </row>
    <row r="84" spans="1:6">
      <c r="B84" s="86">
        <v>171</v>
      </c>
      <c r="D84" s="88" t="s">
        <v>510</v>
      </c>
      <c r="E84" s="88" t="s">
        <v>634</v>
      </c>
      <c r="F84" s="88" t="s">
        <v>634</v>
      </c>
    </row>
    <row r="85" spans="1:6">
      <c r="B85" s="86">
        <v>172</v>
      </c>
      <c r="D85" s="88" t="s">
        <v>101</v>
      </c>
      <c r="E85" s="88" t="s">
        <v>635</v>
      </c>
      <c r="F85" s="88" t="s">
        <v>635</v>
      </c>
    </row>
    <row r="86" spans="1:6">
      <c r="B86" s="86">
        <v>173</v>
      </c>
      <c r="D86" s="88" t="s">
        <v>102</v>
      </c>
      <c r="E86" s="88" t="s">
        <v>636</v>
      </c>
      <c r="F86" s="88" t="s">
        <v>636</v>
      </c>
    </row>
    <row r="87" spans="1:6">
      <c r="B87" s="86">
        <v>174</v>
      </c>
      <c r="D87" s="88" t="s">
        <v>103</v>
      </c>
      <c r="E87" s="88" t="s">
        <v>1082</v>
      </c>
      <c r="F87" s="88" t="s">
        <v>1082</v>
      </c>
    </row>
    <row r="88" spans="1:6">
      <c r="B88" s="86">
        <v>175</v>
      </c>
      <c r="D88" s="88" t="s">
        <v>104</v>
      </c>
      <c r="E88" s="88" t="s">
        <v>637</v>
      </c>
      <c r="F88" s="88" t="s">
        <v>637</v>
      </c>
    </row>
    <row r="89" spans="1:6" ht="24">
      <c r="B89" s="86">
        <v>176</v>
      </c>
      <c r="D89" s="88" t="s">
        <v>105</v>
      </c>
      <c r="E89" s="88" t="s">
        <v>562</v>
      </c>
      <c r="F89" s="88" t="s">
        <v>562</v>
      </c>
    </row>
    <row r="90" spans="1:6">
      <c r="B90" s="86">
        <v>177</v>
      </c>
      <c r="D90" s="88" t="s">
        <v>106</v>
      </c>
      <c r="E90" s="88" t="s">
        <v>638</v>
      </c>
      <c r="F90" s="88" t="s">
        <v>638</v>
      </c>
    </row>
    <row r="91" spans="1:6">
      <c r="B91" s="86">
        <v>178</v>
      </c>
      <c r="D91" s="88" t="s">
        <v>107</v>
      </c>
      <c r="E91" s="88" t="s">
        <v>639</v>
      </c>
      <c r="F91" s="88" t="s">
        <v>639</v>
      </c>
    </row>
    <row r="92" spans="1:6">
      <c r="B92" s="86">
        <v>179</v>
      </c>
      <c r="D92" s="88" t="s">
        <v>108</v>
      </c>
      <c r="E92" s="88" t="s">
        <v>640</v>
      </c>
      <c r="F92" s="88" t="s">
        <v>640</v>
      </c>
    </row>
    <row r="93" spans="1:6">
      <c r="B93" s="86">
        <v>180</v>
      </c>
      <c r="D93" s="88" t="s">
        <v>422</v>
      </c>
      <c r="E93" s="88" t="s">
        <v>641</v>
      </c>
      <c r="F93" s="88" t="s">
        <v>641</v>
      </c>
    </row>
    <row r="94" spans="1:6">
      <c r="B94" s="86">
        <v>181</v>
      </c>
      <c r="C94" s="87" t="s">
        <v>1084</v>
      </c>
      <c r="D94" s="88" t="s">
        <v>1137</v>
      </c>
      <c r="E94" s="88" t="s">
        <v>1100</v>
      </c>
      <c r="F94" s="88" t="s">
        <v>1100</v>
      </c>
    </row>
    <row r="95" spans="1:6" ht="36">
      <c r="B95" s="86">
        <v>182</v>
      </c>
      <c r="C95" s="87" t="s">
        <v>1084</v>
      </c>
      <c r="D95" s="88" t="s">
        <v>1170</v>
      </c>
      <c r="E95" s="88" t="s">
        <v>1109</v>
      </c>
      <c r="F95" s="88" t="s">
        <v>1109</v>
      </c>
    </row>
    <row r="96" spans="1:6">
      <c r="B96" s="86">
        <v>183</v>
      </c>
      <c r="D96" s="88" t="s">
        <v>109</v>
      </c>
      <c r="E96" s="88" t="s">
        <v>642</v>
      </c>
      <c r="F96" s="88" t="s">
        <v>642</v>
      </c>
    </row>
    <row r="97" spans="2:6">
      <c r="B97" s="86">
        <v>184</v>
      </c>
      <c r="D97" s="88" t="s">
        <v>1263</v>
      </c>
      <c r="E97" s="88" t="s">
        <v>1345</v>
      </c>
      <c r="F97" s="88" t="s">
        <v>1345</v>
      </c>
    </row>
    <row r="98" spans="2:6">
      <c r="B98" s="86">
        <v>185</v>
      </c>
      <c r="D98" s="88" t="s">
        <v>110</v>
      </c>
      <c r="E98" s="88" t="s">
        <v>643</v>
      </c>
      <c r="F98" s="88" t="s">
        <v>643</v>
      </c>
    </row>
    <row r="99" spans="2:6" ht="24">
      <c r="B99" s="86">
        <v>186</v>
      </c>
      <c r="D99" s="88" t="s">
        <v>111</v>
      </c>
      <c r="E99" s="88" t="s">
        <v>644</v>
      </c>
      <c r="F99" s="88" t="s">
        <v>644</v>
      </c>
    </row>
    <row r="100" spans="2:6" ht="24">
      <c r="B100" s="86">
        <v>187</v>
      </c>
      <c r="D100" s="88" t="s">
        <v>112</v>
      </c>
      <c r="E100" s="88" t="s">
        <v>645</v>
      </c>
      <c r="F100" s="88" t="s">
        <v>645</v>
      </c>
    </row>
    <row r="101" spans="2:6" ht="24">
      <c r="B101" s="86">
        <v>188</v>
      </c>
      <c r="D101" s="88" t="s">
        <v>113</v>
      </c>
      <c r="E101" s="88" t="s">
        <v>646</v>
      </c>
      <c r="F101" s="88" t="s">
        <v>646</v>
      </c>
    </row>
    <row r="102" spans="2:6">
      <c r="B102" s="86">
        <v>189</v>
      </c>
      <c r="D102" s="88" t="s">
        <v>114</v>
      </c>
      <c r="E102" s="88" t="s">
        <v>647</v>
      </c>
      <c r="F102" s="88" t="s">
        <v>647</v>
      </c>
    </row>
    <row r="103" spans="2:6">
      <c r="B103" s="86">
        <v>190</v>
      </c>
      <c r="C103" s="87" t="s">
        <v>1084</v>
      </c>
      <c r="D103" s="88" t="s">
        <v>1135</v>
      </c>
      <c r="E103" s="88" t="s">
        <v>1099</v>
      </c>
      <c r="F103" s="88" t="s">
        <v>1099</v>
      </c>
    </row>
    <row r="104" spans="2:6">
      <c r="B104" s="86">
        <v>191</v>
      </c>
      <c r="D104" s="88" t="s">
        <v>1177</v>
      </c>
      <c r="E104" s="88" t="s">
        <v>1178</v>
      </c>
      <c r="F104" s="88" t="s">
        <v>1178</v>
      </c>
    </row>
    <row r="105" spans="2:6">
      <c r="B105" s="86">
        <v>192</v>
      </c>
      <c r="D105" s="88" t="s">
        <v>541</v>
      </c>
      <c r="E105" s="88" t="s">
        <v>543</v>
      </c>
      <c r="F105" s="88" t="s">
        <v>543</v>
      </c>
    </row>
    <row r="106" spans="2:6">
      <c r="B106" s="86">
        <v>193</v>
      </c>
      <c r="D106" s="88" t="s">
        <v>542</v>
      </c>
      <c r="E106" s="88" t="s">
        <v>951</v>
      </c>
      <c r="F106" s="88" t="s">
        <v>951</v>
      </c>
    </row>
    <row r="107" spans="2:6">
      <c r="B107" s="86">
        <v>194</v>
      </c>
      <c r="D107" s="88" t="s">
        <v>115</v>
      </c>
      <c r="E107" s="88" t="s">
        <v>648</v>
      </c>
      <c r="F107" s="88" t="s">
        <v>648</v>
      </c>
    </row>
    <row r="108" spans="2:6">
      <c r="B108" s="86">
        <v>195</v>
      </c>
      <c r="D108" s="88" t="s">
        <v>116</v>
      </c>
      <c r="E108" s="88" t="s">
        <v>649</v>
      </c>
      <c r="F108" s="88" t="s">
        <v>649</v>
      </c>
    </row>
    <row r="109" spans="2:6">
      <c r="B109" s="86">
        <v>196</v>
      </c>
      <c r="D109" s="88" t="s">
        <v>423</v>
      </c>
      <c r="E109" s="88" t="s">
        <v>650</v>
      </c>
      <c r="F109" s="88" t="s">
        <v>650</v>
      </c>
    </row>
    <row r="110" spans="2:6" ht="24">
      <c r="B110" s="86">
        <v>197</v>
      </c>
      <c r="D110" s="88" t="s">
        <v>424</v>
      </c>
      <c r="E110" s="88" t="s">
        <v>651</v>
      </c>
      <c r="F110" s="88" t="s">
        <v>651</v>
      </c>
    </row>
    <row r="111" spans="2:6" ht="24">
      <c r="B111" s="86">
        <v>198</v>
      </c>
      <c r="D111" s="88" t="s">
        <v>117</v>
      </c>
      <c r="E111" s="88" t="s">
        <v>652</v>
      </c>
      <c r="F111" s="88" t="s">
        <v>652</v>
      </c>
    </row>
    <row r="112" spans="2:6">
      <c r="B112" s="86">
        <v>199</v>
      </c>
      <c r="D112" s="88" t="s">
        <v>1265</v>
      </c>
      <c r="E112" s="88" t="s">
        <v>1346</v>
      </c>
      <c r="F112" s="88" t="s">
        <v>1346</v>
      </c>
    </row>
    <row r="113" spans="2:6">
      <c r="B113" s="86">
        <v>200</v>
      </c>
      <c r="D113" s="88" t="s">
        <v>118</v>
      </c>
      <c r="E113" s="88" t="s">
        <v>119</v>
      </c>
      <c r="F113" s="88" t="s">
        <v>119</v>
      </c>
    </row>
    <row r="114" spans="2:6">
      <c r="B114" s="86">
        <v>201</v>
      </c>
      <c r="D114" s="88" t="s">
        <v>1230</v>
      </c>
      <c r="E114" s="88" t="s">
        <v>1231</v>
      </c>
      <c r="F114" s="88" t="s">
        <v>1231</v>
      </c>
    </row>
    <row r="115" spans="2:6">
      <c r="B115" s="86">
        <v>202</v>
      </c>
      <c r="D115" s="88" t="s">
        <v>425</v>
      </c>
      <c r="E115" s="88" t="s">
        <v>653</v>
      </c>
      <c r="F115" s="88" t="s">
        <v>653</v>
      </c>
    </row>
    <row r="116" spans="2:6">
      <c r="B116" s="86">
        <v>203</v>
      </c>
      <c r="D116" s="88" t="s">
        <v>426</v>
      </c>
      <c r="E116" s="88" t="s">
        <v>654</v>
      </c>
      <c r="F116" s="88" t="s">
        <v>654</v>
      </c>
    </row>
    <row r="117" spans="2:6">
      <c r="B117" s="86">
        <v>204</v>
      </c>
      <c r="D117" s="88" t="s">
        <v>427</v>
      </c>
      <c r="E117" s="88" t="s">
        <v>518</v>
      </c>
      <c r="F117" s="88" t="s">
        <v>518</v>
      </c>
    </row>
    <row r="118" spans="2:6">
      <c r="B118" s="86">
        <v>205</v>
      </c>
      <c r="D118" s="88" t="s">
        <v>1210</v>
      </c>
      <c r="E118" s="88" t="s">
        <v>1209</v>
      </c>
      <c r="F118" s="88" t="s">
        <v>1209</v>
      </c>
    </row>
    <row r="119" spans="2:6">
      <c r="B119" s="86">
        <v>206</v>
      </c>
      <c r="D119" s="88" t="s">
        <v>1191</v>
      </c>
      <c r="E119" s="88" t="s">
        <v>1192</v>
      </c>
      <c r="F119" s="88" t="s">
        <v>1192</v>
      </c>
    </row>
    <row r="120" spans="2:6">
      <c r="B120" s="86">
        <v>207</v>
      </c>
      <c r="D120" s="88" t="s">
        <v>120</v>
      </c>
      <c r="E120" s="88" t="s">
        <v>655</v>
      </c>
      <c r="F120" s="88" t="s">
        <v>655</v>
      </c>
    </row>
    <row r="121" spans="2:6" ht="24">
      <c r="B121" s="86">
        <v>208</v>
      </c>
      <c r="D121" s="88" t="s">
        <v>121</v>
      </c>
      <c r="E121" s="88" t="s">
        <v>656</v>
      </c>
      <c r="F121" s="88" t="s">
        <v>656</v>
      </c>
    </row>
    <row r="122" spans="2:6" ht="24">
      <c r="B122" s="86">
        <v>209</v>
      </c>
      <c r="D122" s="88" t="s">
        <v>122</v>
      </c>
      <c r="E122" s="88" t="s">
        <v>657</v>
      </c>
      <c r="F122" s="88" t="s">
        <v>657</v>
      </c>
    </row>
    <row r="123" spans="2:6">
      <c r="B123" s="86">
        <v>210</v>
      </c>
      <c r="D123" s="88" t="s">
        <v>545</v>
      </c>
      <c r="E123" s="88" t="s">
        <v>950</v>
      </c>
      <c r="F123" s="88" t="s">
        <v>950</v>
      </c>
    </row>
    <row r="124" spans="2:6">
      <c r="B124" s="86">
        <v>211</v>
      </c>
      <c r="D124" s="88" t="s">
        <v>123</v>
      </c>
      <c r="E124" s="88" t="s">
        <v>123</v>
      </c>
      <c r="F124" s="88" t="s">
        <v>123</v>
      </c>
    </row>
    <row r="125" spans="2:6">
      <c r="B125" s="86">
        <v>212</v>
      </c>
      <c r="D125" s="88" t="s">
        <v>124</v>
      </c>
      <c r="E125" s="88" t="s">
        <v>658</v>
      </c>
      <c r="F125" s="88" t="s">
        <v>658</v>
      </c>
    </row>
    <row r="126" spans="2:6">
      <c r="B126" s="86">
        <v>213</v>
      </c>
      <c r="D126" s="88" t="s">
        <v>125</v>
      </c>
      <c r="E126" s="88" t="s">
        <v>559</v>
      </c>
      <c r="F126" s="88" t="s">
        <v>559</v>
      </c>
    </row>
    <row r="127" spans="2:6">
      <c r="B127" s="86">
        <v>214</v>
      </c>
      <c r="D127" s="88" t="s">
        <v>126</v>
      </c>
      <c r="E127" s="88" t="s">
        <v>1004</v>
      </c>
      <c r="F127" s="88" t="s">
        <v>1004</v>
      </c>
    </row>
    <row r="128" spans="2:6">
      <c r="B128" s="86">
        <v>215</v>
      </c>
      <c r="D128" s="88" t="s">
        <v>428</v>
      </c>
      <c r="E128" s="88" t="s">
        <v>659</v>
      </c>
      <c r="F128" s="88" t="s">
        <v>659</v>
      </c>
    </row>
    <row r="129" spans="2:6">
      <c r="B129" s="86">
        <v>216</v>
      </c>
      <c r="D129" s="88" t="s">
        <v>127</v>
      </c>
      <c r="E129" s="88" t="s">
        <v>660</v>
      </c>
      <c r="F129" s="88" t="s">
        <v>660</v>
      </c>
    </row>
    <row r="130" spans="2:6">
      <c r="B130" s="86">
        <v>217</v>
      </c>
      <c r="D130" s="88" t="s">
        <v>429</v>
      </c>
      <c r="E130" s="88" t="s">
        <v>661</v>
      </c>
      <c r="F130" s="88" t="s">
        <v>661</v>
      </c>
    </row>
    <row r="131" spans="2:6">
      <c r="B131" s="86">
        <v>218</v>
      </c>
      <c r="D131" s="88" t="s">
        <v>128</v>
      </c>
      <c r="E131" s="88" t="s">
        <v>662</v>
      </c>
      <c r="F131" s="88" t="s">
        <v>662</v>
      </c>
    </row>
    <row r="132" spans="2:6">
      <c r="B132" s="86">
        <v>219</v>
      </c>
      <c r="D132" s="88" t="s">
        <v>129</v>
      </c>
      <c r="E132" s="88" t="s">
        <v>663</v>
      </c>
      <c r="F132" s="88" t="s">
        <v>663</v>
      </c>
    </row>
    <row r="133" spans="2:6">
      <c r="B133" s="86">
        <v>220</v>
      </c>
      <c r="D133" s="88" t="s">
        <v>130</v>
      </c>
      <c r="E133" s="88" t="s">
        <v>664</v>
      </c>
      <c r="F133" s="88" t="s">
        <v>664</v>
      </c>
    </row>
    <row r="134" spans="2:6">
      <c r="B134" s="86">
        <v>221</v>
      </c>
      <c r="D134" s="88" t="s">
        <v>430</v>
      </c>
      <c r="E134" s="88" t="s">
        <v>665</v>
      </c>
      <c r="F134" s="88" t="s">
        <v>665</v>
      </c>
    </row>
    <row r="135" spans="2:6">
      <c r="B135" s="86">
        <v>222</v>
      </c>
      <c r="D135" s="88" t="s">
        <v>131</v>
      </c>
      <c r="E135" s="88" t="s">
        <v>666</v>
      </c>
      <c r="F135" s="88" t="s">
        <v>666</v>
      </c>
    </row>
    <row r="136" spans="2:6">
      <c r="B136" s="86">
        <v>223</v>
      </c>
      <c r="D136" s="88" t="s">
        <v>132</v>
      </c>
      <c r="E136" s="88" t="s">
        <v>667</v>
      </c>
      <c r="F136" s="88" t="s">
        <v>667</v>
      </c>
    </row>
    <row r="137" spans="2:6">
      <c r="B137" s="86">
        <v>224</v>
      </c>
      <c r="C137" s="87" t="s">
        <v>580</v>
      </c>
      <c r="D137" s="88" t="s">
        <v>971</v>
      </c>
      <c r="E137" s="88" t="s">
        <v>972</v>
      </c>
      <c r="F137" s="88" t="s">
        <v>972</v>
      </c>
    </row>
    <row r="138" spans="2:6">
      <c r="B138" s="86">
        <v>225</v>
      </c>
      <c r="D138" s="88" t="s">
        <v>133</v>
      </c>
      <c r="E138" s="88" t="s">
        <v>668</v>
      </c>
      <c r="F138" s="88" t="s">
        <v>668</v>
      </c>
    </row>
    <row r="139" spans="2:6">
      <c r="B139" s="86">
        <v>226</v>
      </c>
      <c r="D139" s="88" t="s">
        <v>1172</v>
      </c>
      <c r="E139" s="88" t="s">
        <v>1173</v>
      </c>
      <c r="F139" s="88" t="s">
        <v>1173</v>
      </c>
    </row>
    <row r="140" spans="2:6">
      <c r="B140" s="86">
        <v>227</v>
      </c>
      <c r="D140" s="88" t="s">
        <v>431</v>
      </c>
      <c r="E140" s="88" t="s">
        <v>669</v>
      </c>
      <c r="F140" s="88" t="s">
        <v>669</v>
      </c>
    </row>
    <row r="141" spans="2:6">
      <c r="B141" s="86">
        <v>228</v>
      </c>
      <c r="D141" s="88" t="s">
        <v>432</v>
      </c>
      <c r="E141" s="88" t="s">
        <v>670</v>
      </c>
      <c r="F141" s="88" t="s">
        <v>670</v>
      </c>
    </row>
    <row r="142" spans="2:6">
      <c r="B142" s="86">
        <v>229</v>
      </c>
      <c r="D142" s="88" t="s">
        <v>1065</v>
      </c>
      <c r="E142" s="88" t="s">
        <v>1066</v>
      </c>
      <c r="F142" s="88" t="s">
        <v>1066</v>
      </c>
    </row>
    <row r="143" spans="2:6">
      <c r="B143" s="86">
        <v>230</v>
      </c>
      <c r="D143" s="88" t="s">
        <v>1063</v>
      </c>
      <c r="E143" s="88" t="s">
        <v>1064</v>
      </c>
      <c r="F143" s="88" t="s">
        <v>1064</v>
      </c>
    </row>
    <row r="144" spans="2:6">
      <c r="B144" s="86">
        <v>231</v>
      </c>
      <c r="D144" s="88" t="s">
        <v>433</v>
      </c>
      <c r="E144" s="88" t="s">
        <v>671</v>
      </c>
      <c r="F144" s="88" t="s">
        <v>671</v>
      </c>
    </row>
    <row r="145" spans="2:6">
      <c r="B145" s="86">
        <v>232</v>
      </c>
      <c r="D145" s="88" t="s">
        <v>1201</v>
      </c>
      <c r="E145" s="88" t="s">
        <v>1202</v>
      </c>
      <c r="F145" s="88" t="s">
        <v>1202</v>
      </c>
    </row>
    <row r="146" spans="2:6">
      <c r="B146" s="86">
        <v>233</v>
      </c>
      <c r="D146" s="88" t="s">
        <v>434</v>
      </c>
      <c r="E146" s="88" t="s">
        <v>672</v>
      </c>
      <c r="F146" s="88" t="s">
        <v>672</v>
      </c>
    </row>
    <row r="147" spans="2:6">
      <c r="B147" s="86">
        <v>234</v>
      </c>
      <c r="D147" s="88" t="s">
        <v>435</v>
      </c>
      <c r="E147" s="88" t="s">
        <v>673</v>
      </c>
      <c r="F147" s="88" t="s">
        <v>673</v>
      </c>
    </row>
    <row r="148" spans="2:6">
      <c r="B148" s="86">
        <v>235</v>
      </c>
      <c r="D148" s="88" t="s">
        <v>134</v>
      </c>
      <c r="E148" s="88" t="s">
        <v>558</v>
      </c>
      <c r="F148" s="88" t="s">
        <v>558</v>
      </c>
    </row>
    <row r="149" spans="2:6">
      <c r="B149" s="86">
        <v>236</v>
      </c>
      <c r="D149" s="88" t="s">
        <v>436</v>
      </c>
      <c r="E149" s="88" t="s">
        <v>674</v>
      </c>
      <c r="F149" s="88" t="s">
        <v>674</v>
      </c>
    </row>
    <row r="150" spans="2:6">
      <c r="B150" s="86">
        <v>237</v>
      </c>
      <c r="D150" s="88" t="s">
        <v>1198</v>
      </c>
      <c r="E150" s="88" t="s">
        <v>1205</v>
      </c>
      <c r="F150" s="88" t="s">
        <v>1205</v>
      </c>
    </row>
    <row r="151" spans="2:6">
      <c r="B151" s="86">
        <v>238</v>
      </c>
      <c r="D151" s="88" t="s">
        <v>135</v>
      </c>
      <c r="E151" s="88" t="s">
        <v>528</v>
      </c>
      <c r="F151" s="88" t="s">
        <v>528</v>
      </c>
    </row>
    <row r="152" spans="2:6">
      <c r="B152" s="86">
        <v>239</v>
      </c>
      <c r="D152" s="88" t="s">
        <v>136</v>
      </c>
      <c r="E152" s="88" t="s">
        <v>675</v>
      </c>
      <c r="F152" s="88" t="s">
        <v>675</v>
      </c>
    </row>
    <row r="153" spans="2:6">
      <c r="B153" s="86">
        <v>240</v>
      </c>
      <c r="D153" s="88" t="s">
        <v>137</v>
      </c>
      <c r="E153" s="88" t="s">
        <v>676</v>
      </c>
      <c r="F153" s="88" t="s">
        <v>676</v>
      </c>
    </row>
    <row r="154" spans="2:6">
      <c r="B154" s="86">
        <v>241</v>
      </c>
      <c r="D154" s="88" t="s">
        <v>437</v>
      </c>
      <c r="E154" s="88" t="s">
        <v>677</v>
      </c>
      <c r="F154" s="88" t="s">
        <v>677</v>
      </c>
    </row>
    <row r="155" spans="2:6">
      <c r="B155" s="86">
        <v>242</v>
      </c>
      <c r="D155" s="88" t="s">
        <v>438</v>
      </c>
      <c r="E155" s="88" t="s">
        <v>678</v>
      </c>
      <c r="F155" s="88" t="s">
        <v>678</v>
      </c>
    </row>
    <row r="156" spans="2:6">
      <c r="B156" s="86">
        <v>243</v>
      </c>
      <c r="D156" s="88" t="s">
        <v>1174</v>
      </c>
      <c r="E156" s="88" t="s">
        <v>538</v>
      </c>
      <c r="F156" s="88" t="s">
        <v>538</v>
      </c>
    </row>
    <row r="157" spans="2:6">
      <c r="B157" s="86">
        <v>244</v>
      </c>
      <c r="D157" s="88" t="s">
        <v>525</v>
      </c>
      <c r="E157" s="88" t="s">
        <v>679</v>
      </c>
      <c r="F157" s="88" t="s">
        <v>679</v>
      </c>
    </row>
    <row r="158" spans="2:6">
      <c r="B158" s="86">
        <v>245</v>
      </c>
      <c r="D158" s="88" t="s">
        <v>439</v>
      </c>
      <c r="E158" s="88" t="s">
        <v>680</v>
      </c>
      <c r="F158" s="88" t="s">
        <v>680</v>
      </c>
    </row>
    <row r="159" spans="2:6">
      <c r="B159" s="86">
        <v>246</v>
      </c>
      <c r="D159" s="88" t="s">
        <v>440</v>
      </c>
      <c r="E159" s="88" t="s">
        <v>681</v>
      </c>
      <c r="F159" s="88" t="s">
        <v>681</v>
      </c>
    </row>
    <row r="160" spans="2:6">
      <c r="B160" s="86">
        <v>247</v>
      </c>
      <c r="D160" s="88" t="s">
        <v>1176</v>
      </c>
      <c r="E160" s="88" t="s">
        <v>1221</v>
      </c>
      <c r="F160" s="88" t="s">
        <v>1221</v>
      </c>
    </row>
    <row r="161" spans="2:6">
      <c r="B161" s="86">
        <v>248</v>
      </c>
      <c r="D161" s="88" t="s">
        <v>441</v>
      </c>
      <c r="E161" s="88" t="s">
        <v>682</v>
      </c>
      <c r="F161" s="88" t="s">
        <v>682</v>
      </c>
    </row>
    <row r="162" spans="2:6">
      <c r="B162" s="86">
        <v>249</v>
      </c>
      <c r="D162" s="88" t="s">
        <v>442</v>
      </c>
      <c r="E162" s="88" t="s">
        <v>683</v>
      </c>
      <c r="F162" s="88" t="s">
        <v>683</v>
      </c>
    </row>
    <row r="163" spans="2:6">
      <c r="B163" s="86">
        <v>250</v>
      </c>
      <c r="D163" s="88" t="s">
        <v>138</v>
      </c>
      <c r="E163" s="88" t="s">
        <v>684</v>
      </c>
      <c r="F163" s="88" t="s">
        <v>684</v>
      </c>
    </row>
    <row r="164" spans="2:6">
      <c r="B164" s="86">
        <v>251</v>
      </c>
      <c r="D164" s="88" t="s">
        <v>139</v>
      </c>
      <c r="E164" s="88" t="s">
        <v>685</v>
      </c>
      <c r="F164" s="88" t="s">
        <v>685</v>
      </c>
    </row>
    <row r="165" spans="2:6">
      <c r="B165" s="86">
        <v>252</v>
      </c>
      <c r="D165" s="88" t="s">
        <v>1175</v>
      </c>
      <c r="E165" s="88" t="s">
        <v>1220</v>
      </c>
      <c r="F165" s="88" t="s">
        <v>1220</v>
      </c>
    </row>
    <row r="166" spans="2:6">
      <c r="B166" s="86">
        <v>253</v>
      </c>
      <c r="D166" s="88" t="s">
        <v>1351</v>
      </c>
      <c r="E166" s="88" t="s">
        <v>1352</v>
      </c>
      <c r="F166" s="88" t="s">
        <v>1352</v>
      </c>
    </row>
    <row r="167" spans="2:6">
      <c r="B167" s="86">
        <v>254</v>
      </c>
      <c r="D167" s="88" t="s">
        <v>140</v>
      </c>
      <c r="E167" s="88" t="s">
        <v>686</v>
      </c>
      <c r="F167" s="88" t="s">
        <v>686</v>
      </c>
    </row>
    <row r="168" spans="2:6">
      <c r="B168" s="86">
        <v>255</v>
      </c>
      <c r="C168" s="87" t="s">
        <v>580</v>
      </c>
      <c r="D168" s="88" t="s">
        <v>964</v>
      </c>
      <c r="E168" s="88" t="s">
        <v>966</v>
      </c>
      <c r="F168" s="88" t="s">
        <v>966</v>
      </c>
    </row>
    <row r="169" spans="2:6">
      <c r="B169" s="86">
        <v>256</v>
      </c>
      <c r="D169" s="88" t="s">
        <v>141</v>
      </c>
      <c r="E169" s="88" t="s">
        <v>687</v>
      </c>
      <c r="F169" s="88" t="s">
        <v>687</v>
      </c>
    </row>
    <row r="170" spans="2:6">
      <c r="B170" s="86">
        <v>257</v>
      </c>
      <c r="D170" s="88" t="s">
        <v>443</v>
      </c>
      <c r="E170" s="88" t="s">
        <v>688</v>
      </c>
      <c r="F170" s="88" t="s">
        <v>688</v>
      </c>
    </row>
    <row r="171" spans="2:6">
      <c r="B171" s="86">
        <v>258</v>
      </c>
      <c r="D171" s="88" t="s">
        <v>444</v>
      </c>
      <c r="E171" s="88" t="s">
        <v>689</v>
      </c>
      <c r="F171" s="88" t="s">
        <v>689</v>
      </c>
    </row>
    <row r="172" spans="2:6">
      <c r="B172" s="86">
        <v>259</v>
      </c>
      <c r="D172" s="88" t="s">
        <v>445</v>
      </c>
      <c r="E172" s="88" t="s">
        <v>690</v>
      </c>
      <c r="F172" s="88" t="s">
        <v>690</v>
      </c>
    </row>
    <row r="173" spans="2:6">
      <c r="B173" s="86">
        <v>260</v>
      </c>
      <c r="D173" s="88" t="s">
        <v>1051</v>
      </c>
      <c r="E173" s="88" t="s">
        <v>1029</v>
      </c>
      <c r="F173" s="88" t="s">
        <v>1029</v>
      </c>
    </row>
    <row r="174" spans="2:6">
      <c r="B174" s="86">
        <v>261</v>
      </c>
      <c r="D174" s="88" t="s">
        <v>1053</v>
      </c>
      <c r="E174" s="88" t="s">
        <v>1055</v>
      </c>
      <c r="F174" s="88" t="s">
        <v>1055</v>
      </c>
    </row>
    <row r="175" spans="2:6" ht="24">
      <c r="B175" s="86">
        <v>262</v>
      </c>
      <c r="D175" s="88" t="s">
        <v>1054</v>
      </c>
      <c r="E175" s="88" t="s">
        <v>1056</v>
      </c>
      <c r="F175" s="88" t="s">
        <v>1056</v>
      </c>
    </row>
    <row r="176" spans="2:6" ht="24">
      <c r="B176" s="86">
        <v>263</v>
      </c>
      <c r="D176" s="88" t="s">
        <v>1080</v>
      </c>
      <c r="E176" s="88" t="s">
        <v>1081</v>
      </c>
      <c r="F176" s="88" t="s">
        <v>1081</v>
      </c>
    </row>
    <row r="177" spans="2:6">
      <c r="B177" s="86">
        <v>264</v>
      </c>
      <c r="D177" s="88" t="s">
        <v>1052</v>
      </c>
      <c r="E177" s="88" t="s">
        <v>1018</v>
      </c>
      <c r="F177" s="88" t="s">
        <v>1018</v>
      </c>
    </row>
    <row r="178" spans="2:6">
      <c r="B178" s="86">
        <v>265</v>
      </c>
      <c r="D178" s="88" t="s">
        <v>1057</v>
      </c>
      <c r="E178" s="88" t="s">
        <v>1058</v>
      </c>
      <c r="F178" s="88" t="s">
        <v>1058</v>
      </c>
    </row>
    <row r="179" spans="2:6">
      <c r="B179" s="86">
        <v>266</v>
      </c>
      <c r="D179" s="88" t="s">
        <v>1050</v>
      </c>
      <c r="E179" s="88" t="s">
        <v>1017</v>
      </c>
      <c r="F179" s="88" t="s">
        <v>1017</v>
      </c>
    </row>
    <row r="180" spans="2:6">
      <c r="B180" s="86">
        <v>267</v>
      </c>
      <c r="D180" s="88" t="s">
        <v>142</v>
      </c>
      <c r="E180" s="88" t="s">
        <v>691</v>
      </c>
      <c r="F180" s="88" t="s">
        <v>691</v>
      </c>
    </row>
    <row r="181" spans="2:6">
      <c r="B181" s="86">
        <v>268</v>
      </c>
      <c r="D181" s="88" t="s">
        <v>1216</v>
      </c>
      <c r="E181" s="88" t="s">
        <v>1217</v>
      </c>
      <c r="F181" s="88" t="s">
        <v>1217</v>
      </c>
    </row>
    <row r="182" spans="2:6">
      <c r="B182" s="86">
        <v>269</v>
      </c>
      <c r="D182" s="88" t="s">
        <v>143</v>
      </c>
      <c r="E182" s="88" t="s">
        <v>692</v>
      </c>
      <c r="F182" s="88" t="s">
        <v>692</v>
      </c>
    </row>
    <row r="183" spans="2:6">
      <c r="B183" s="86">
        <v>270</v>
      </c>
      <c r="D183" s="88" t="s">
        <v>446</v>
      </c>
      <c r="E183" s="88" t="s">
        <v>693</v>
      </c>
      <c r="F183" s="88" t="s">
        <v>693</v>
      </c>
    </row>
    <row r="184" spans="2:6" ht="24">
      <c r="B184" s="86">
        <v>271</v>
      </c>
      <c r="D184" s="88" t="s">
        <v>144</v>
      </c>
      <c r="E184" s="88" t="s">
        <v>694</v>
      </c>
      <c r="F184" s="88" t="s">
        <v>694</v>
      </c>
    </row>
    <row r="185" spans="2:6" ht="36">
      <c r="B185" s="86">
        <v>272</v>
      </c>
      <c r="D185" s="88" t="s">
        <v>145</v>
      </c>
      <c r="E185" s="88" t="s">
        <v>695</v>
      </c>
      <c r="F185" s="88" t="s">
        <v>695</v>
      </c>
    </row>
    <row r="186" spans="2:6">
      <c r="B186" s="86">
        <v>273</v>
      </c>
      <c r="D186" s="88" t="s">
        <v>146</v>
      </c>
      <c r="E186" s="88" t="s">
        <v>696</v>
      </c>
      <c r="F186" s="88" t="s">
        <v>696</v>
      </c>
    </row>
    <row r="187" spans="2:6">
      <c r="B187" s="86">
        <v>274</v>
      </c>
      <c r="D187" s="88" t="s">
        <v>147</v>
      </c>
      <c r="E187" s="88" t="s">
        <v>697</v>
      </c>
      <c r="F187" s="88" t="s">
        <v>697</v>
      </c>
    </row>
    <row r="188" spans="2:6">
      <c r="B188" s="86">
        <v>275</v>
      </c>
      <c r="D188" s="88" t="s">
        <v>148</v>
      </c>
      <c r="E188" s="88" t="s">
        <v>698</v>
      </c>
      <c r="F188" s="88" t="s">
        <v>698</v>
      </c>
    </row>
    <row r="189" spans="2:6">
      <c r="B189" s="86">
        <v>276</v>
      </c>
      <c r="D189" s="88" t="s">
        <v>149</v>
      </c>
      <c r="E189" s="88" t="s">
        <v>699</v>
      </c>
      <c r="F189" s="88" t="s">
        <v>699</v>
      </c>
    </row>
    <row r="190" spans="2:6">
      <c r="B190" s="86">
        <v>277</v>
      </c>
      <c r="D190" s="88" t="s">
        <v>150</v>
      </c>
      <c r="E190" s="88" t="s">
        <v>700</v>
      </c>
      <c r="F190" s="88" t="s">
        <v>700</v>
      </c>
    </row>
    <row r="191" spans="2:6">
      <c r="B191" s="86">
        <v>278</v>
      </c>
      <c r="D191" s="88" t="s">
        <v>151</v>
      </c>
      <c r="E191" s="88" t="s">
        <v>701</v>
      </c>
      <c r="F191" s="88" t="s">
        <v>701</v>
      </c>
    </row>
    <row r="192" spans="2:6">
      <c r="B192" s="86">
        <v>279</v>
      </c>
      <c r="D192" s="88" t="s">
        <v>152</v>
      </c>
      <c r="E192" s="88" t="s">
        <v>702</v>
      </c>
      <c r="F192" s="88" t="s">
        <v>702</v>
      </c>
    </row>
    <row r="193" spans="2:6">
      <c r="B193" s="86">
        <v>280</v>
      </c>
      <c r="D193" s="88" t="s">
        <v>153</v>
      </c>
      <c r="E193" s="88" t="s">
        <v>555</v>
      </c>
      <c r="F193" s="88" t="s">
        <v>555</v>
      </c>
    </row>
    <row r="194" spans="2:6">
      <c r="B194" s="86">
        <v>281</v>
      </c>
      <c r="D194" s="88" t="s">
        <v>154</v>
      </c>
      <c r="E194" s="88" t="s">
        <v>703</v>
      </c>
      <c r="F194" s="88" t="s">
        <v>703</v>
      </c>
    </row>
    <row r="195" spans="2:6">
      <c r="B195" s="86">
        <v>282</v>
      </c>
      <c r="D195" s="88" t="s">
        <v>155</v>
      </c>
      <c r="E195" s="88" t="s">
        <v>704</v>
      </c>
      <c r="F195" s="88" t="s">
        <v>704</v>
      </c>
    </row>
    <row r="196" spans="2:6">
      <c r="B196" s="86">
        <v>283</v>
      </c>
      <c r="D196" s="88" t="s">
        <v>156</v>
      </c>
      <c r="E196" s="88" t="s">
        <v>705</v>
      </c>
      <c r="F196" s="88" t="s">
        <v>705</v>
      </c>
    </row>
    <row r="197" spans="2:6" ht="24">
      <c r="B197" s="86">
        <v>284</v>
      </c>
      <c r="D197" s="88" t="s">
        <v>157</v>
      </c>
      <c r="E197" s="88" t="s">
        <v>706</v>
      </c>
      <c r="F197" s="88" t="s">
        <v>706</v>
      </c>
    </row>
    <row r="198" spans="2:6">
      <c r="B198" s="86">
        <v>285</v>
      </c>
      <c r="D198" s="88" t="s">
        <v>447</v>
      </c>
      <c r="E198" s="88" t="s">
        <v>707</v>
      </c>
      <c r="F198" s="88" t="s">
        <v>707</v>
      </c>
    </row>
    <row r="199" spans="2:6">
      <c r="B199" s="86">
        <v>286</v>
      </c>
      <c r="D199" s="88" t="s">
        <v>158</v>
      </c>
      <c r="E199" s="88" t="s">
        <v>708</v>
      </c>
      <c r="F199" s="88" t="s">
        <v>708</v>
      </c>
    </row>
    <row r="200" spans="2:6">
      <c r="B200" s="86">
        <v>287</v>
      </c>
      <c r="D200" s="88" t="s">
        <v>159</v>
      </c>
      <c r="E200" s="88" t="s">
        <v>709</v>
      </c>
      <c r="F200" s="88" t="s">
        <v>709</v>
      </c>
    </row>
    <row r="201" spans="2:6">
      <c r="B201" s="86">
        <v>288</v>
      </c>
      <c r="D201" s="88" t="s">
        <v>160</v>
      </c>
      <c r="E201" s="88" t="s">
        <v>710</v>
      </c>
      <c r="F201" s="88" t="s">
        <v>710</v>
      </c>
    </row>
    <row r="202" spans="2:6">
      <c r="B202" s="86">
        <v>289</v>
      </c>
      <c r="D202" s="88" t="s">
        <v>448</v>
      </c>
      <c r="E202" s="88" t="s">
        <v>711</v>
      </c>
      <c r="F202" s="88" t="s">
        <v>711</v>
      </c>
    </row>
    <row r="203" spans="2:6">
      <c r="B203" s="86">
        <v>290</v>
      </c>
      <c r="D203" s="88" t="s">
        <v>449</v>
      </c>
      <c r="E203" s="88" t="s">
        <v>712</v>
      </c>
      <c r="F203" s="88" t="s">
        <v>712</v>
      </c>
    </row>
    <row r="204" spans="2:6">
      <c r="B204" s="86">
        <v>291</v>
      </c>
      <c r="D204" s="88" t="s">
        <v>1180</v>
      </c>
      <c r="E204" s="88" t="s">
        <v>1188</v>
      </c>
      <c r="F204" s="88" t="s">
        <v>1188</v>
      </c>
    </row>
    <row r="205" spans="2:6">
      <c r="B205" s="86">
        <v>292</v>
      </c>
      <c r="D205" s="88" t="s">
        <v>1269</v>
      </c>
      <c r="E205" s="88" t="s">
        <v>1270</v>
      </c>
      <c r="F205" s="88" t="s">
        <v>1270</v>
      </c>
    </row>
    <row r="206" spans="2:6">
      <c r="B206" s="86">
        <v>293</v>
      </c>
      <c r="D206" s="88" t="s">
        <v>1181</v>
      </c>
      <c r="E206" s="88" t="s">
        <v>1187</v>
      </c>
      <c r="F206" s="88" t="s">
        <v>1187</v>
      </c>
    </row>
    <row r="207" spans="2:6">
      <c r="B207" s="86">
        <v>294</v>
      </c>
      <c r="D207" s="88" t="s">
        <v>1179</v>
      </c>
      <c r="E207" s="88" t="s">
        <v>1186</v>
      </c>
      <c r="F207" s="88" t="s">
        <v>1186</v>
      </c>
    </row>
    <row r="208" spans="2:6">
      <c r="B208" s="86">
        <v>295</v>
      </c>
      <c r="D208" s="88" t="s">
        <v>450</v>
      </c>
      <c r="E208" s="88" t="s">
        <v>713</v>
      </c>
      <c r="F208" s="88" t="s">
        <v>713</v>
      </c>
    </row>
    <row r="209" spans="2:6">
      <c r="B209" s="86">
        <v>296</v>
      </c>
      <c r="D209" s="88" t="s">
        <v>535</v>
      </c>
      <c r="E209" s="88" t="s">
        <v>714</v>
      </c>
      <c r="F209" s="88" t="s">
        <v>714</v>
      </c>
    </row>
    <row r="210" spans="2:6">
      <c r="B210" s="86">
        <v>297</v>
      </c>
      <c r="D210" s="88" t="s">
        <v>161</v>
      </c>
      <c r="E210" s="88" t="s">
        <v>715</v>
      </c>
      <c r="F210" s="88" t="s">
        <v>715</v>
      </c>
    </row>
    <row r="211" spans="2:6">
      <c r="B211" s="86">
        <v>298</v>
      </c>
      <c r="C211" s="87" t="s">
        <v>1084</v>
      </c>
      <c r="D211" s="88" t="s">
        <v>1156</v>
      </c>
      <c r="E211" s="88" t="s">
        <v>1095</v>
      </c>
      <c r="F211" s="88" t="s">
        <v>1095</v>
      </c>
    </row>
    <row r="212" spans="2:6">
      <c r="B212" s="86">
        <v>299</v>
      </c>
      <c r="D212" s="88" t="s">
        <v>1200</v>
      </c>
      <c r="E212" s="88" t="s">
        <v>1203</v>
      </c>
      <c r="F212" s="88" t="s">
        <v>1203</v>
      </c>
    </row>
    <row r="213" spans="2:6">
      <c r="B213" s="86">
        <v>300</v>
      </c>
      <c r="D213" s="88" t="s">
        <v>523</v>
      </c>
      <c r="E213" s="88" t="s">
        <v>949</v>
      </c>
      <c r="F213" s="88" t="s">
        <v>949</v>
      </c>
    </row>
    <row r="214" spans="2:6">
      <c r="B214" s="86">
        <v>301</v>
      </c>
      <c r="D214" s="88" t="s">
        <v>1002</v>
      </c>
      <c r="E214" s="88" t="s">
        <v>1003</v>
      </c>
      <c r="F214" s="88" t="s">
        <v>1003</v>
      </c>
    </row>
    <row r="215" spans="2:6">
      <c r="B215" s="86">
        <v>302</v>
      </c>
      <c r="C215" s="87" t="s">
        <v>1084</v>
      </c>
      <c r="D215" s="201" t="s">
        <v>1379</v>
      </c>
      <c r="E215" s="201" t="s">
        <v>1115</v>
      </c>
      <c r="F215" s="201" t="s">
        <v>1115</v>
      </c>
    </row>
    <row r="216" spans="2:6">
      <c r="B216" s="86">
        <v>303</v>
      </c>
      <c r="C216" s="87" t="s">
        <v>1084</v>
      </c>
      <c r="D216" s="201" t="s">
        <v>1123</v>
      </c>
      <c r="E216" s="201" t="s">
        <v>1085</v>
      </c>
      <c r="F216" s="201" t="s">
        <v>1085</v>
      </c>
    </row>
    <row r="217" spans="2:6">
      <c r="B217" s="86">
        <v>304</v>
      </c>
      <c r="C217" s="87" t="s">
        <v>1084</v>
      </c>
      <c r="D217" s="201" t="s">
        <v>1382</v>
      </c>
      <c r="E217" s="201" t="s">
        <v>1094</v>
      </c>
      <c r="F217" s="201" t="s">
        <v>1094</v>
      </c>
    </row>
    <row r="218" spans="2:6">
      <c r="B218" s="86">
        <v>305</v>
      </c>
      <c r="C218" s="87" t="s">
        <v>1084</v>
      </c>
      <c r="D218" s="201" t="s">
        <v>1166</v>
      </c>
      <c r="E218" s="201" t="s">
        <v>1167</v>
      </c>
      <c r="F218" s="201" t="s">
        <v>1167</v>
      </c>
    </row>
    <row r="219" spans="2:6">
      <c r="B219" s="86">
        <v>305</v>
      </c>
      <c r="C219" s="87" t="s">
        <v>1084</v>
      </c>
      <c r="D219" s="201" t="s">
        <v>1380</v>
      </c>
      <c r="E219" s="201" t="s">
        <v>1381</v>
      </c>
      <c r="F219" s="201" t="s">
        <v>1381</v>
      </c>
    </row>
    <row r="220" spans="2:6">
      <c r="B220" s="86">
        <v>306</v>
      </c>
      <c r="C220" s="87" t="s">
        <v>1084</v>
      </c>
      <c r="D220" s="201" t="s">
        <v>1369</v>
      </c>
      <c r="E220" s="201" t="s">
        <v>1370</v>
      </c>
      <c r="F220" s="201" t="s">
        <v>1370</v>
      </c>
    </row>
    <row r="221" spans="2:6">
      <c r="B221" s="86">
        <v>307</v>
      </c>
      <c r="C221" s="87" t="s">
        <v>1084</v>
      </c>
      <c r="D221" s="201" t="s">
        <v>1371</v>
      </c>
      <c r="E221" s="201" t="s">
        <v>1372</v>
      </c>
      <c r="F221" s="201" t="s">
        <v>1372</v>
      </c>
    </row>
    <row r="222" spans="2:6">
      <c r="B222" s="86">
        <v>308</v>
      </c>
      <c r="C222" s="87" t="s">
        <v>1084</v>
      </c>
      <c r="D222" s="201" t="s">
        <v>1373</v>
      </c>
      <c r="E222" s="201" t="s">
        <v>1374</v>
      </c>
      <c r="F222" s="201" t="s">
        <v>1374</v>
      </c>
    </row>
    <row r="223" spans="2:6">
      <c r="B223" s="86">
        <v>309</v>
      </c>
      <c r="C223" s="87" t="s">
        <v>1084</v>
      </c>
      <c r="D223" s="201" t="s">
        <v>1375</v>
      </c>
      <c r="E223" s="201" t="s">
        <v>1376</v>
      </c>
      <c r="F223" s="201" t="s">
        <v>1376</v>
      </c>
    </row>
    <row r="224" spans="2:6">
      <c r="B224" s="86">
        <v>310</v>
      </c>
      <c r="C224" s="87" t="s">
        <v>1084</v>
      </c>
      <c r="D224" s="201" t="s">
        <v>1377</v>
      </c>
      <c r="E224" s="201" t="s">
        <v>1383</v>
      </c>
      <c r="F224" s="201" t="s">
        <v>1383</v>
      </c>
    </row>
    <row r="225" spans="2:6">
      <c r="B225" s="86">
        <v>311</v>
      </c>
      <c r="C225" s="87" t="s">
        <v>1084</v>
      </c>
      <c r="D225" s="201" t="s">
        <v>1378</v>
      </c>
      <c r="E225" s="201" t="s">
        <v>1384</v>
      </c>
      <c r="F225" s="201" t="s">
        <v>1384</v>
      </c>
    </row>
    <row r="226" spans="2:6">
      <c r="B226" s="86">
        <v>312</v>
      </c>
      <c r="C226" s="87" t="s">
        <v>1084</v>
      </c>
      <c r="D226" s="201" t="s">
        <v>1158</v>
      </c>
      <c r="E226" s="201" t="s">
        <v>1385</v>
      </c>
      <c r="F226" s="201" t="s">
        <v>1385</v>
      </c>
    </row>
    <row r="227" spans="2:6">
      <c r="B227" s="86">
        <v>313</v>
      </c>
      <c r="C227" s="87" t="s">
        <v>1084</v>
      </c>
      <c r="D227" s="201" t="s">
        <v>1159</v>
      </c>
      <c r="E227" s="201" t="s">
        <v>1386</v>
      </c>
      <c r="F227" s="201" t="s">
        <v>1386</v>
      </c>
    </row>
    <row r="228" spans="2:6">
      <c r="B228" s="86">
        <v>314</v>
      </c>
      <c r="C228" s="87" t="s">
        <v>1084</v>
      </c>
      <c r="D228" s="201" t="s">
        <v>1160</v>
      </c>
      <c r="E228" s="88" t="s">
        <v>1116</v>
      </c>
      <c r="F228" s="88" t="s">
        <v>1116</v>
      </c>
    </row>
    <row r="229" spans="2:6">
      <c r="B229" s="86">
        <v>315</v>
      </c>
      <c r="C229" s="87" t="s">
        <v>1084</v>
      </c>
      <c r="D229" s="201" t="s">
        <v>1161</v>
      </c>
      <c r="E229" s="88" t="s">
        <v>1117</v>
      </c>
      <c r="F229" s="88" t="s">
        <v>1117</v>
      </c>
    </row>
    <row r="230" spans="2:6">
      <c r="B230" s="86">
        <v>316</v>
      </c>
      <c r="C230" s="87" t="s">
        <v>1084</v>
      </c>
      <c r="D230" s="201" t="s">
        <v>1162</v>
      </c>
      <c r="E230" s="88" t="s">
        <v>1118</v>
      </c>
      <c r="F230" s="88" t="s">
        <v>1118</v>
      </c>
    </row>
    <row r="231" spans="2:6">
      <c r="B231" s="86">
        <v>317</v>
      </c>
      <c r="C231" s="87" t="s">
        <v>1084</v>
      </c>
      <c r="D231" s="201" t="s">
        <v>1163</v>
      </c>
      <c r="E231" s="88" t="s">
        <v>1119</v>
      </c>
      <c r="F231" s="88" t="s">
        <v>1119</v>
      </c>
    </row>
    <row r="232" spans="2:6">
      <c r="B232" s="86">
        <v>318</v>
      </c>
      <c r="C232" s="87" t="s">
        <v>1084</v>
      </c>
      <c r="D232" s="201" t="s">
        <v>1164</v>
      </c>
      <c r="E232" s="201" t="s">
        <v>1165</v>
      </c>
      <c r="F232" s="201" t="s">
        <v>1165</v>
      </c>
    </row>
    <row r="233" spans="2:6" ht="24">
      <c r="B233" s="86">
        <v>319</v>
      </c>
      <c r="D233" s="88" t="s">
        <v>162</v>
      </c>
      <c r="E233" s="88" t="s">
        <v>716</v>
      </c>
      <c r="F233" s="88" t="s">
        <v>716</v>
      </c>
    </row>
    <row r="234" spans="2:6" ht="24">
      <c r="B234" s="86">
        <v>320</v>
      </c>
      <c r="D234" s="88" t="s">
        <v>163</v>
      </c>
      <c r="E234" s="88" t="s">
        <v>717</v>
      </c>
      <c r="F234" s="88" t="s">
        <v>717</v>
      </c>
    </row>
    <row r="235" spans="2:6" ht="24">
      <c r="B235" s="86">
        <v>321</v>
      </c>
      <c r="D235" s="88" t="s">
        <v>164</v>
      </c>
      <c r="E235" s="88" t="s">
        <v>718</v>
      </c>
      <c r="F235" s="88" t="s">
        <v>718</v>
      </c>
    </row>
    <row r="236" spans="2:6" ht="24">
      <c r="B236" s="86">
        <v>322</v>
      </c>
      <c r="C236" s="87" t="s">
        <v>1084</v>
      </c>
      <c r="D236" s="88" t="s">
        <v>1157</v>
      </c>
      <c r="E236" s="88" t="s">
        <v>1104</v>
      </c>
      <c r="F236" s="88" t="s">
        <v>1104</v>
      </c>
    </row>
    <row r="237" spans="2:6">
      <c r="B237" s="86">
        <v>323</v>
      </c>
      <c r="D237" s="88" t="s">
        <v>165</v>
      </c>
      <c r="E237" s="88" t="s">
        <v>719</v>
      </c>
      <c r="F237" s="88" t="s">
        <v>719</v>
      </c>
    </row>
    <row r="238" spans="2:6">
      <c r="B238" s="86">
        <v>324</v>
      </c>
      <c r="C238" s="87" t="s">
        <v>580</v>
      </c>
      <c r="D238" s="88" t="s">
        <v>973</v>
      </c>
      <c r="E238" s="88" t="s">
        <v>974</v>
      </c>
      <c r="F238" s="88" t="s">
        <v>974</v>
      </c>
    </row>
    <row r="239" spans="2:6">
      <c r="B239" s="86">
        <v>325</v>
      </c>
      <c r="D239" s="88" t="s">
        <v>166</v>
      </c>
      <c r="E239" s="88" t="s">
        <v>720</v>
      </c>
      <c r="F239" s="88" t="s">
        <v>720</v>
      </c>
    </row>
    <row r="240" spans="2:6">
      <c r="B240" s="86">
        <v>326</v>
      </c>
      <c r="D240" s="88" t="s">
        <v>167</v>
      </c>
      <c r="E240" s="88" t="s">
        <v>721</v>
      </c>
      <c r="F240" s="88" t="s">
        <v>721</v>
      </c>
    </row>
    <row r="241" spans="2:6">
      <c r="B241" s="86">
        <v>327</v>
      </c>
      <c r="D241" s="88" t="s">
        <v>168</v>
      </c>
      <c r="E241" s="88" t="s">
        <v>722</v>
      </c>
      <c r="F241" s="88" t="s">
        <v>722</v>
      </c>
    </row>
    <row r="242" spans="2:6">
      <c r="B242" s="86">
        <v>328</v>
      </c>
      <c r="C242" s="87" t="s">
        <v>580</v>
      </c>
      <c r="D242" s="85" t="s">
        <v>955</v>
      </c>
      <c r="E242" s="201" t="s">
        <v>956</v>
      </c>
      <c r="F242" s="201" t="s">
        <v>956</v>
      </c>
    </row>
    <row r="243" spans="2:6">
      <c r="B243" s="86">
        <v>329</v>
      </c>
      <c r="C243" s="87" t="s">
        <v>580</v>
      </c>
      <c r="D243" s="85" t="s">
        <v>957</v>
      </c>
      <c r="E243" s="201" t="s">
        <v>958</v>
      </c>
      <c r="F243" s="201" t="s">
        <v>958</v>
      </c>
    </row>
    <row r="244" spans="2:6">
      <c r="B244" s="86">
        <v>330</v>
      </c>
      <c r="D244" s="88" t="s">
        <v>169</v>
      </c>
      <c r="E244" s="88" t="s">
        <v>723</v>
      </c>
      <c r="F244" s="88" t="s">
        <v>723</v>
      </c>
    </row>
    <row r="245" spans="2:6">
      <c r="B245" s="86">
        <v>331</v>
      </c>
      <c r="C245" s="87" t="s">
        <v>580</v>
      </c>
      <c r="D245" s="88" t="s">
        <v>970</v>
      </c>
      <c r="E245" s="88" t="s">
        <v>1008</v>
      </c>
      <c r="F245" s="88" t="s">
        <v>1008</v>
      </c>
    </row>
    <row r="246" spans="2:6">
      <c r="B246" s="86">
        <v>332</v>
      </c>
      <c r="C246" s="87" t="s">
        <v>580</v>
      </c>
      <c r="D246" s="85" t="s">
        <v>975</v>
      </c>
      <c r="E246" s="201" t="s">
        <v>976</v>
      </c>
      <c r="F246" s="201" t="s">
        <v>976</v>
      </c>
    </row>
    <row r="247" spans="2:6" ht="24">
      <c r="B247" s="86">
        <v>333</v>
      </c>
      <c r="D247" s="88" t="s">
        <v>170</v>
      </c>
      <c r="E247" s="88" t="s">
        <v>724</v>
      </c>
      <c r="F247" s="88" t="s">
        <v>724</v>
      </c>
    </row>
    <row r="248" spans="2:6" ht="24">
      <c r="B248" s="86">
        <v>334</v>
      </c>
      <c r="D248" s="88" t="s">
        <v>171</v>
      </c>
      <c r="E248" s="88" t="s">
        <v>725</v>
      </c>
      <c r="F248" s="88" t="s">
        <v>725</v>
      </c>
    </row>
    <row r="249" spans="2:6">
      <c r="B249" s="86">
        <v>335</v>
      </c>
      <c r="D249" s="88" t="s">
        <v>172</v>
      </c>
      <c r="E249" s="88" t="s">
        <v>726</v>
      </c>
      <c r="F249" s="88" t="s">
        <v>726</v>
      </c>
    </row>
    <row r="250" spans="2:6">
      <c r="B250" s="86">
        <v>336</v>
      </c>
      <c r="D250" s="88" t="s">
        <v>173</v>
      </c>
      <c r="E250" s="88" t="s">
        <v>727</v>
      </c>
      <c r="F250" s="88" t="s">
        <v>727</v>
      </c>
    </row>
    <row r="251" spans="2:6">
      <c r="B251" s="86">
        <v>337</v>
      </c>
      <c r="D251" s="88" t="s">
        <v>174</v>
      </c>
      <c r="E251" s="88" t="s">
        <v>728</v>
      </c>
      <c r="F251" s="88" t="s">
        <v>728</v>
      </c>
    </row>
    <row r="252" spans="2:6">
      <c r="B252" s="86">
        <v>338</v>
      </c>
      <c r="D252" s="88" t="s">
        <v>175</v>
      </c>
      <c r="E252" s="88" t="s">
        <v>729</v>
      </c>
      <c r="F252" s="88" t="s">
        <v>729</v>
      </c>
    </row>
    <row r="253" spans="2:6">
      <c r="B253" s="86">
        <v>339</v>
      </c>
      <c r="C253" s="87" t="s">
        <v>1084</v>
      </c>
      <c r="D253" s="88" t="s">
        <v>1138</v>
      </c>
      <c r="E253" s="88" t="s">
        <v>1102</v>
      </c>
      <c r="F253" s="88" t="s">
        <v>1102</v>
      </c>
    </row>
    <row r="254" spans="2:6">
      <c r="B254" s="86">
        <v>340</v>
      </c>
      <c r="C254" s="87" t="s">
        <v>1084</v>
      </c>
      <c r="D254" s="88" t="s">
        <v>1140</v>
      </c>
      <c r="E254" s="88" t="s">
        <v>1103</v>
      </c>
      <c r="F254" s="88" t="s">
        <v>1103</v>
      </c>
    </row>
    <row r="255" spans="2:6">
      <c r="B255" s="86">
        <v>341</v>
      </c>
      <c r="D255" s="88" t="s">
        <v>176</v>
      </c>
      <c r="E255" s="88" t="s">
        <v>730</v>
      </c>
      <c r="F255" s="88" t="s">
        <v>730</v>
      </c>
    </row>
    <row r="256" spans="2:6" ht="24">
      <c r="B256" s="86">
        <v>342</v>
      </c>
      <c r="C256" s="87" t="s">
        <v>1084</v>
      </c>
      <c r="D256" s="88" t="s">
        <v>1150</v>
      </c>
      <c r="E256" s="88" t="s">
        <v>1111</v>
      </c>
      <c r="F256" s="88" t="s">
        <v>1111</v>
      </c>
    </row>
    <row r="257" spans="2:6">
      <c r="B257" s="86">
        <v>343</v>
      </c>
      <c r="D257" s="88" t="s">
        <v>451</v>
      </c>
      <c r="E257" s="88" t="s">
        <v>731</v>
      </c>
      <c r="F257" s="88" t="s">
        <v>731</v>
      </c>
    </row>
    <row r="258" spans="2:6">
      <c r="B258" s="86">
        <v>344</v>
      </c>
      <c r="D258" s="88" t="s">
        <v>177</v>
      </c>
      <c r="E258" s="88" t="s">
        <v>732</v>
      </c>
      <c r="F258" s="88" t="s">
        <v>732</v>
      </c>
    </row>
    <row r="259" spans="2:6">
      <c r="B259" s="86">
        <v>345</v>
      </c>
      <c r="D259" s="88" t="s">
        <v>452</v>
      </c>
      <c r="E259" s="88" t="s">
        <v>733</v>
      </c>
      <c r="F259" s="88" t="s">
        <v>733</v>
      </c>
    </row>
    <row r="260" spans="2:6">
      <c r="B260" s="86">
        <v>346</v>
      </c>
      <c r="C260" s="87" t="s">
        <v>1084</v>
      </c>
      <c r="D260" s="88" t="s">
        <v>1139</v>
      </c>
      <c r="E260" s="88" t="s">
        <v>1113</v>
      </c>
      <c r="F260" s="88" t="s">
        <v>1113</v>
      </c>
    </row>
    <row r="261" spans="2:6">
      <c r="B261" s="86">
        <v>347</v>
      </c>
      <c r="C261" s="87" t="s">
        <v>580</v>
      </c>
      <c r="D261" s="85" t="s">
        <v>953</v>
      </c>
      <c r="E261" s="201" t="s">
        <v>954</v>
      </c>
      <c r="F261" s="201" t="s">
        <v>954</v>
      </c>
    </row>
    <row r="262" spans="2:6" ht="24">
      <c r="B262" s="86">
        <v>348</v>
      </c>
      <c r="C262" s="87" t="s">
        <v>1084</v>
      </c>
      <c r="D262" s="88" t="s">
        <v>1131</v>
      </c>
      <c r="E262" s="88" t="s">
        <v>1092</v>
      </c>
      <c r="F262" s="88" t="s">
        <v>1092</v>
      </c>
    </row>
    <row r="263" spans="2:6" ht="24">
      <c r="B263" s="86">
        <v>349</v>
      </c>
      <c r="D263" s="88" t="s">
        <v>178</v>
      </c>
      <c r="F263" s="88"/>
    </row>
    <row r="264" spans="2:6">
      <c r="B264" s="86">
        <v>350</v>
      </c>
      <c r="D264" s="88" t="s">
        <v>179</v>
      </c>
      <c r="E264" s="88" t="s">
        <v>734</v>
      </c>
      <c r="F264" s="88" t="s">
        <v>734</v>
      </c>
    </row>
    <row r="265" spans="2:6">
      <c r="B265" s="86">
        <v>351</v>
      </c>
      <c r="D265" s="88" t="s">
        <v>180</v>
      </c>
      <c r="E265" s="88" t="s">
        <v>735</v>
      </c>
      <c r="F265" s="88" t="s">
        <v>735</v>
      </c>
    </row>
    <row r="266" spans="2:6">
      <c r="B266" s="86">
        <v>352</v>
      </c>
      <c r="D266" s="88" t="s">
        <v>181</v>
      </c>
      <c r="E266" s="88" t="s">
        <v>736</v>
      </c>
      <c r="F266" s="88" t="s">
        <v>736</v>
      </c>
    </row>
    <row r="267" spans="2:6">
      <c r="B267" s="86">
        <v>353</v>
      </c>
      <c r="C267" s="87" t="s">
        <v>1084</v>
      </c>
      <c r="D267" s="88" t="s">
        <v>1134</v>
      </c>
      <c r="E267" s="88" t="s">
        <v>1098</v>
      </c>
      <c r="F267" s="88" t="s">
        <v>1098</v>
      </c>
    </row>
    <row r="268" spans="2:6">
      <c r="B268" s="86">
        <v>354</v>
      </c>
      <c r="D268" s="88" t="s">
        <v>182</v>
      </c>
      <c r="E268" s="88" t="s">
        <v>737</v>
      </c>
      <c r="F268" s="88" t="s">
        <v>737</v>
      </c>
    </row>
    <row r="269" spans="2:6">
      <c r="B269" s="86">
        <v>355</v>
      </c>
      <c r="D269" s="88" t="s">
        <v>453</v>
      </c>
      <c r="E269" s="88" t="s">
        <v>738</v>
      </c>
      <c r="F269" s="88" t="s">
        <v>738</v>
      </c>
    </row>
    <row r="270" spans="2:6">
      <c r="B270" s="86">
        <v>356</v>
      </c>
      <c r="D270" s="88" t="s">
        <v>183</v>
      </c>
      <c r="E270" s="88" t="s">
        <v>739</v>
      </c>
      <c r="F270" s="88" t="s">
        <v>739</v>
      </c>
    </row>
    <row r="271" spans="2:6" ht="24">
      <c r="B271" s="86">
        <v>357</v>
      </c>
      <c r="C271" s="87" t="s">
        <v>1084</v>
      </c>
      <c r="D271" s="88" t="s">
        <v>1130</v>
      </c>
      <c r="E271" s="88" t="s">
        <v>1129</v>
      </c>
      <c r="F271" s="88" t="s">
        <v>1129</v>
      </c>
    </row>
    <row r="272" spans="2:6" ht="36">
      <c r="B272" s="86">
        <v>358</v>
      </c>
      <c r="C272" s="87" t="s">
        <v>1084</v>
      </c>
      <c r="D272" s="88" t="s">
        <v>1147</v>
      </c>
      <c r="E272" s="88" t="s">
        <v>1107</v>
      </c>
      <c r="F272" s="88" t="s">
        <v>1107</v>
      </c>
    </row>
    <row r="273" spans="2:6">
      <c r="B273" s="86">
        <v>359</v>
      </c>
      <c r="D273" s="88" t="s">
        <v>184</v>
      </c>
      <c r="E273" s="88" t="s">
        <v>740</v>
      </c>
      <c r="F273" s="88" t="s">
        <v>740</v>
      </c>
    </row>
    <row r="274" spans="2:6">
      <c r="B274" s="86">
        <v>360</v>
      </c>
      <c r="D274" s="88" t="s">
        <v>1</v>
      </c>
      <c r="E274" s="88" t="s">
        <v>1</v>
      </c>
      <c r="F274" s="88" t="s">
        <v>1</v>
      </c>
    </row>
    <row r="275" spans="2:6">
      <c r="B275" s="86">
        <v>361</v>
      </c>
      <c r="D275" s="88" t="s">
        <v>2</v>
      </c>
      <c r="E275" s="88" t="s">
        <v>2</v>
      </c>
      <c r="F275" s="88" t="s">
        <v>2</v>
      </c>
    </row>
    <row r="276" spans="2:6">
      <c r="B276" s="86">
        <v>362</v>
      </c>
      <c r="D276" s="88" t="s">
        <v>540</v>
      </c>
      <c r="E276" s="88" t="s">
        <v>544</v>
      </c>
      <c r="F276" s="88" t="s">
        <v>544</v>
      </c>
    </row>
    <row r="277" spans="2:6">
      <c r="B277" s="86">
        <v>363</v>
      </c>
      <c r="D277" s="88" t="s">
        <v>185</v>
      </c>
      <c r="E277" s="88" t="s">
        <v>186</v>
      </c>
      <c r="F277" s="88" t="s">
        <v>186</v>
      </c>
    </row>
    <row r="278" spans="2:6">
      <c r="B278" s="86">
        <v>364</v>
      </c>
      <c r="D278" s="88" t="s">
        <v>1218</v>
      </c>
      <c r="E278" s="88" t="s">
        <v>1219</v>
      </c>
      <c r="F278" s="88" t="s">
        <v>1219</v>
      </c>
    </row>
    <row r="279" spans="2:6">
      <c r="B279" s="86">
        <v>365</v>
      </c>
      <c r="D279" s="88" t="s">
        <v>187</v>
      </c>
      <c r="E279" s="88" t="s">
        <v>511</v>
      </c>
      <c r="F279" s="88" t="s">
        <v>511</v>
      </c>
    </row>
    <row r="280" spans="2:6">
      <c r="B280" s="86">
        <v>366</v>
      </c>
      <c r="D280" s="88" t="s">
        <v>188</v>
      </c>
      <c r="E280" s="88" t="s">
        <v>741</v>
      </c>
      <c r="F280" s="88" t="s">
        <v>741</v>
      </c>
    </row>
    <row r="281" spans="2:6">
      <c r="B281" s="86">
        <v>367</v>
      </c>
      <c r="D281" s="88" t="s">
        <v>189</v>
      </c>
      <c r="E281" s="88" t="s">
        <v>742</v>
      </c>
      <c r="F281" s="88" t="s">
        <v>742</v>
      </c>
    </row>
    <row r="282" spans="2:6">
      <c r="B282" s="86">
        <v>368</v>
      </c>
      <c r="D282" s="88" t="s">
        <v>454</v>
      </c>
      <c r="E282" s="88" t="s">
        <v>743</v>
      </c>
      <c r="F282" s="88" t="s">
        <v>743</v>
      </c>
    </row>
    <row r="283" spans="2:6">
      <c r="B283" s="86">
        <v>369</v>
      </c>
      <c r="D283" s="88" t="s">
        <v>455</v>
      </c>
      <c r="E283" s="88" t="s">
        <v>744</v>
      </c>
      <c r="F283" s="88" t="s">
        <v>744</v>
      </c>
    </row>
    <row r="284" spans="2:6">
      <c r="B284" s="86">
        <v>370</v>
      </c>
      <c r="D284" s="88" t="s">
        <v>456</v>
      </c>
      <c r="E284" s="88" t="s">
        <v>743</v>
      </c>
      <c r="F284" s="88" t="s">
        <v>743</v>
      </c>
    </row>
    <row r="285" spans="2:6">
      <c r="B285" s="86">
        <v>371</v>
      </c>
      <c r="C285" s="87" t="s">
        <v>1084</v>
      </c>
      <c r="D285" s="88" t="s">
        <v>1121</v>
      </c>
      <c r="E285" s="88" t="s">
        <v>1101</v>
      </c>
      <c r="F285" s="88" t="s">
        <v>1101</v>
      </c>
    </row>
    <row r="286" spans="2:6">
      <c r="B286" s="86">
        <v>372</v>
      </c>
      <c r="D286" s="88" t="s">
        <v>190</v>
      </c>
      <c r="E286" s="88" t="s">
        <v>745</v>
      </c>
      <c r="F286" s="88" t="s">
        <v>745</v>
      </c>
    </row>
    <row r="287" spans="2:6">
      <c r="B287" s="86">
        <v>373</v>
      </c>
      <c r="D287" s="88" t="s">
        <v>457</v>
      </c>
      <c r="E287" s="88" t="s">
        <v>746</v>
      </c>
      <c r="F287" s="88" t="s">
        <v>746</v>
      </c>
    </row>
    <row r="288" spans="2:6">
      <c r="B288" s="86">
        <v>374</v>
      </c>
      <c r="D288" s="88" t="s">
        <v>191</v>
      </c>
      <c r="E288" s="88" t="s">
        <v>747</v>
      </c>
      <c r="F288" s="88" t="s">
        <v>747</v>
      </c>
    </row>
    <row r="289" spans="2:6">
      <c r="B289" s="86">
        <v>375</v>
      </c>
      <c r="C289" s="87" t="s">
        <v>580</v>
      </c>
      <c r="D289" s="85" t="s">
        <v>977</v>
      </c>
      <c r="E289" s="201" t="s">
        <v>978</v>
      </c>
      <c r="F289" s="201" t="s">
        <v>978</v>
      </c>
    </row>
    <row r="290" spans="2:6">
      <c r="B290" s="86">
        <v>376</v>
      </c>
      <c r="D290" s="88" t="s">
        <v>486</v>
      </c>
      <c r="E290" s="88" t="s">
        <v>748</v>
      </c>
      <c r="F290" s="88" t="s">
        <v>748</v>
      </c>
    </row>
    <row r="291" spans="2:6">
      <c r="B291" s="86">
        <v>377</v>
      </c>
      <c r="D291" s="88" t="s">
        <v>487</v>
      </c>
      <c r="E291" s="88" t="s">
        <v>749</v>
      </c>
      <c r="F291" s="88" t="s">
        <v>749</v>
      </c>
    </row>
    <row r="292" spans="2:6">
      <c r="B292" s="86">
        <v>378</v>
      </c>
      <c r="C292" s="87" t="s">
        <v>989</v>
      </c>
      <c r="D292" s="88" t="s">
        <v>990</v>
      </c>
      <c r="E292" s="88" t="s">
        <v>991</v>
      </c>
      <c r="F292" s="88" t="s">
        <v>991</v>
      </c>
    </row>
    <row r="293" spans="2:6">
      <c r="B293" s="86">
        <v>379</v>
      </c>
      <c r="D293" s="88" t="s">
        <v>192</v>
      </c>
      <c r="E293" s="88" t="s">
        <v>750</v>
      </c>
      <c r="F293" s="88" t="s">
        <v>750</v>
      </c>
    </row>
    <row r="294" spans="2:6">
      <c r="B294" s="86">
        <v>380</v>
      </c>
      <c r="D294" s="88" t="s">
        <v>458</v>
      </c>
      <c r="E294" s="88" t="s">
        <v>751</v>
      </c>
      <c r="F294" s="88" t="s">
        <v>751</v>
      </c>
    </row>
    <row r="295" spans="2:6">
      <c r="B295" s="86">
        <v>381</v>
      </c>
      <c r="D295" s="88" t="s">
        <v>193</v>
      </c>
      <c r="E295" s="88" t="s">
        <v>752</v>
      </c>
      <c r="F295" s="88" t="s">
        <v>752</v>
      </c>
    </row>
    <row r="296" spans="2:6">
      <c r="B296" s="86">
        <v>382</v>
      </c>
      <c r="D296" s="88" t="s">
        <v>194</v>
      </c>
      <c r="E296" s="88" t="s">
        <v>753</v>
      </c>
      <c r="F296" s="88" t="s">
        <v>753</v>
      </c>
    </row>
    <row r="297" spans="2:6">
      <c r="B297" s="86">
        <v>383</v>
      </c>
      <c r="D297" s="88" t="s">
        <v>195</v>
      </c>
      <c r="E297" s="88" t="s">
        <v>526</v>
      </c>
      <c r="F297" s="88" t="s">
        <v>526</v>
      </c>
    </row>
    <row r="298" spans="2:6">
      <c r="B298" s="86">
        <v>384</v>
      </c>
      <c r="D298" s="88" t="s">
        <v>967</v>
      </c>
      <c r="E298" s="88" t="s">
        <v>968</v>
      </c>
      <c r="F298" s="88" t="s">
        <v>968</v>
      </c>
    </row>
    <row r="299" spans="2:6" ht="24">
      <c r="B299" s="86">
        <v>385</v>
      </c>
      <c r="D299" s="88" t="s">
        <v>196</v>
      </c>
      <c r="E299" s="88" t="s">
        <v>754</v>
      </c>
      <c r="F299" s="88" t="s">
        <v>754</v>
      </c>
    </row>
    <row r="300" spans="2:6">
      <c r="B300" s="86">
        <v>386</v>
      </c>
      <c r="D300" s="88" t="s">
        <v>1264</v>
      </c>
      <c r="E300" s="88" t="s">
        <v>1347</v>
      </c>
      <c r="F300" s="88" t="s">
        <v>1347</v>
      </c>
    </row>
    <row r="301" spans="2:6" ht="24">
      <c r="B301" s="86">
        <v>387</v>
      </c>
      <c r="D301" s="88" t="s">
        <v>488</v>
      </c>
      <c r="E301" s="88" t="s">
        <v>755</v>
      </c>
      <c r="F301" s="88" t="s">
        <v>755</v>
      </c>
    </row>
    <row r="302" spans="2:6">
      <c r="B302" s="86">
        <v>388</v>
      </c>
      <c r="D302" s="88" t="s">
        <v>489</v>
      </c>
      <c r="E302" s="88" t="s">
        <v>756</v>
      </c>
      <c r="F302" s="88" t="s">
        <v>756</v>
      </c>
    </row>
    <row r="303" spans="2:6">
      <c r="B303" s="86">
        <v>389</v>
      </c>
      <c r="D303" s="88" t="s">
        <v>459</v>
      </c>
      <c r="E303" s="88" t="s">
        <v>757</v>
      </c>
      <c r="F303" s="88" t="s">
        <v>757</v>
      </c>
    </row>
    <row r="304" spans="2:6">
      <c r="B304" s="86">
        <v>390</v>
      </c>
      <c r="D304" s="88" t="s">
        <v>197</v>
      </c>
      <c r="E304" s="88" t="s">
        <v>758</v>
      </c>
      <c r="F304" s="88" t="s">
        <v>758</v>
      </c>
    </row>
    <row r="305" spans="2:6">
      <c r="B305" s="86">
        <v>391</v>
      </c>
      <c r="D305" s="88" t="s">
        <v>460</v>
      </c>
      <c r="E305" s="88" t="s">
        <v>759</v>
      </c>
      <c r="F305" s="88" t="s">
        <v>759</v>
      </c>
    </row>
    <row r="306" spans="2:6">
      <c r="B306" s="86">
        <v>392</v>
      </c>
      <c r="D306" s="88" t="s">
        <v>461</v>
      </c>
      <c r="E306" s="88" t="s">
        <v>760</v>
      </c>
      <c r="F306" s="88" t="s">
        <v>760</v>
      </c>
    </row>
    <row r="307" spans="2:6">
      <c r="B307" s="86">
        <v>393</v>
      </c>
      <c r="D307" s="88" t="s">
        <v>198</v>
      </c>
      <c r="E307" s="88" t="s">
        <v>761</v>
      </c>
      <c r="F307" s="88" t="s">
        <v>761</v>
      </c>
    </row>
    <row r="308" spans="2:6">
      <c r="B308" s="86">
        <v>394</v>
      </c>
      <c r="D308" s="88" t="s">
        <v>199</v>
      </c>
      <c r="E308" s="88" t="s">
        <v>762</v>
      </c>
      <c r="F308" s="88" t="s">
        <v>762</v>
      </c>
    </row>
    <row r="309" spans="2:6">
      <c r="B309" s="86">
        <v>395</v>
      </c>
      <c r="D309" s="88" t="s">
        <v>462</v>
      </c>
      <c r="E309" s="88" t="s">
        <v>763</v>
      </c>
      <c r="F309" s="88" t="s">
        <v>763</v>
      </c>
    </row>
    <row r="310" spans="2:6">
      <c r="B310" s="86">
        <v>396</v>
      </c>
      <c r="D310" s="88" t="s">
        <v>200</v>
      </c>
      <c r="E310" s="88" t="s">
        <v>764</v>
      </c>
      <c r="F310" s="88" t="s">
        <v>764</v>
      </c>
    </row>
    <row r="311" spans="2:6">
      <c r="B311" s="86">
        <v>397</v>
      </c>
      <c r="C311" s="87" t="s">
        <v>503</v>
      </c>
      <c r="D311" s="88" t="s">
        <v>512</v>
      </c>
      <c r="E311" s="88" t="s">
        <v>513</v>
      </c>
      <c r="F311" s="88" t="s">
        <v>513</v>
      </c>
    </row>
    <row r="312" spans="2:6">
      <c r="B312" s="86">
        <v>398</v>
      </c>
      <c r="C312" s="87" t="s">
        <v>580</v>
      </c>
      <c r="D312" s="85" t="s">
        <v>579</v>
      </c>
      <c r="E312" s="201" t="s">
        <v>952</v>
      </c>
      <c r="F312" s="201" t="s">
        <v>952</v>
      </c>
    </row>
    <row r="313" spans="2:6">
      <c r="B313" s="86">
        <v>399</v>
      </c>
      <c r="D313" s="88" t="s">
        <v>201</v>
      </c>
      <c r="E313" s="88" t="s">
        <v>765</v>
      </c>
      <c r="F313" s="88" t="s">
        <v>765</v>
      </c>
    </row>
    <row r="314" spans="2:6">
      <c r="B314" s="86">
        <v>400</v>
      </c>
      <c r="D314" s="88" t="s">
        <v>202</v>
      </c>
      <c r="E314" s="88" t="s">
        <v>766</v>
      </c>
      <c r="F314" s="88" t="s">
        <v>766</v>
      </c>
    </row>
    <row r="315" spans="2:6">
      <c r="B315" s="86">
        <v>401</v>
      </c>
      <c r="D315" s="88" t="s">
        <v>203</v>
      </c>
      <c r="E315" s="88" t="s">
        <v>767</v>
      </c>
      <c r="F315" s="88" t="s">
        <v>767</v>
      </c>
    </row>
    <row r="316" spans="2:6">
      <c r="B316" s="86">
        <v>402</v>
      </c>
      <c r="D316" s="88" t="s">
        <v>204</v>
      </c>
      <c r="E316" s="88" t="s">
        <v>768</v>
      </c>
      <c r="F316" s="88" t="s">
        <v>768</v>
      </c>
    </row>
    <row r="317" spans="2:6">
      <c r="B317" s="86">
        <v>403</v>
      </c>
      <c r="C317" s="87" t="s">
        <v>580</v>
      </c>
      <c r="D317" s="85" t="s">
        <v>576</v>
      </c>
      <c r="E317" s="201" t="s">
        <v>567</v>
      </c>
      <c r="F317" s="201" t="s">
        <v>567</v>
      </c>
    </row>
    <row r="318" spans="2:6">
      <c r="B318" s="86">
        <v>404</v>
      </c>
      <c r="D318" s="88" t="s">
        <v>205</v>
      </c>
      <c r="E318" s="88" t="s">
        <v>769</v>
      </c>
      <c r="F318" s="88" t="s">
        <v>769</v>
      </c>
    </row>
    <row r="319" spans="2:6">
      <c r="B319" s="86">
        <v>405</v>
      </c>
      <c r="C319" s="87" t="s">
        <v>580</v>
      </c>
      <c r="D319" s="88" t="s">
        <v>574</v>
      </c>
      <c r="E319" s="201" t="s">
        <v>565</v>
      </c>
      <c r="F319" s="201" t="s">
        <v>565</v>
      </c>
    </row>
    <row r="320" spans="2:6">
      <c r="B320" s="86">
        <v>406</v>
      </c>
      <c r="D320" s="88" t="s">
        <v>206</v>
      </c>
      <c r="E320" s="88" t="s">
        <v>770</v>
      </c>
      <c r="F320" s="88" t="s">
        <v>770</v>
      </c>
    </row>
    <row r="321" spans="1:6" ht="36">
      <c r="B321" s="86">
        <v>407</v>
      </c>
      <c r="D321" s="88" t="s">
        <v>207</v>
      </c>
      <c r="E321" s="88" t="s">
        <v>771</v>
      </c>
      <c r="F321" s="88" t="s">
        <v>771</v>
      </c>
    </row>
    <row r="322" spans="1:6">
      <c r="B322" s="86">
        <v>408</v>
      </c>
      <c r="D322" s="88" t="s">
        <v>208</v>
      </c>
      <c r="E322" s="88" t="s">
        <v>772</v>
      </c>
      <c r="F322" s="88" t="s">
        <v>772</v>
      </c>
    </row>
    <row r="323" spans="1:6">
      <c r="B323" s="86">
        <v>409</v>
      </c>
      <c r="D323" s="88" t="s">
        <v>1027</v>
      </c>
      <c r="E323" s="88" t="s">
        <v>1028</v>
      </c>
      <c r="F323" s="88" t="s">
        <v>1028</v>
      </c>
    </row>
    <row r="324" spans="1:6" ht="24">
      <c r="B324" s="86">
        <v>410</v>
      </c>
      <c r="D324" s="88" t="s">
        <v>209</v>
      </c>
      <c r="E324" s="88" t="s">
        <v>773</v>
      </c>
      <c r="F324" s="88" t="s">
        <v>773</v>
      </c>
    </row>
    <row r="325" spans="1:6">
      <c r="B325" s="86">
        <v>411</v>
      </c>
      <c r="D325" s="88" t="s">
        <v>1035</v>
      </c>
      <c r="E325" s="88" t="s">
        <v>1036</v>
      </c>
      <c r="F325" s="88" t="s">
        <v>1036</v>
      </c>
    </row>
    <row r="326" spans="1:6">
      <c r="B326" s="86">
        <v>412</v>
      </c>
      <c r="D326" s="88" t="s">
        <v>1025</v>
      </c>
      <c r="E326" s="88" t="s">
        <v>1026</v>
      </c>
      <c r="F326" s="88" t="s">
        <v>1026</v>
      </c>
    </row>
    <row r="327" spans="1:6">
      <c r="A327" s="198"/>
      <c r="B327" s="86">
        <v>413</v>
      </c>
      <c r="C327" s="199" t="s">
        <v>485</v>
      </c>
      <c r="D327" s="197" t="s">
        <v>514</v>
      </c>
      <c r="E327" s="197" t="s">
        <v>529</v>
      </c>
      <c r="F327" s="197" t="s">
        <v>529</v>
      </c>
    </row>
    <row r="328" spans="1:6">
      <c r="A328" s="198"/>
      <c r="B328" s="86">
        <v>414</v>
      </c>
      <c r="C328" s="199" t="s">
        <v>485</v>
      </c>
      <c r="D328" s="197" t="s">
        <v>515</v>
      </c>
      <c r="E328" s="197" t="s">
        <v>774</v>
      </c>
      <c r="F328" s="197" t="s">
        <v>774</v>
      </c>
    </row>
    <row r="329" spans="1:6">
      <c r="A329" s="198"/>
      <c r="B329" s="86">
        <v>415</v>
      </c>
      <c r="C329" s="199" t="s">
        <v>485</v>
      </c>
      <c r="D329" s="197" t="s">
        <v>516</v>
      </c>
      <c r="E329" s="197" t="s">
        <v>775</v>
      </c>
      <c r="F329" s="197" t="s">
        <v>775</v>
      </c>
    </row>
    <row r="330" spans="1:6">
      <c r="B330" s="86">
        <v>416</v>
      </c>
      <c r="D330" s="88" t="s">
        <v>210</v>
      </c>
      <c r="E330" s="88" t="s">
        <v>529</v>
      </c>
      <c r="F330" s="88" t="s">
        <v>529</v>
      </c>
    </row>
    <row r="331" spans="1:6">
      <c r="B331" s="86">
        <v>417</v>
      </c>
      <c r="D331" s="88" t="s">
        <v>211</v>
      </c>
      <c r="E331" s="197" t="s">
        <v>776</v>
      </c>
      <c r="F331" s="197" t="s">
        <v>776</v>
      </c>
    </row>
    <row r="332" spans="1:6">
      <c r="B332" s="86">
        <v>418</v>
      </c>
      <c r="D332" s="88" t="s">
        <v>212</v>
      </c>
      <c r="E332" s="88" t="s">
        <v>777</v>
      </c>
      <c r="F332" s="88" t="s">
        <v>777</v>
      </c>
    </row>
    <row r="333" spans="1:6">
      <c r="B333" s="86">
        <v>419</v>
      </c>
      <c r="D333" s="88" t="s">
        <v>213</v>
      </c>
      <c r="E333" s="88" t="s">
        <v>778</v>
      </c>
      <c r="F333" s="88" t="s">
        <v>778</v>
      </c>
    </row>
    <row r="334" spans="1:6">
      <c r="B334" s="86">
        <v>420</v>
      </c>
      <c r="D334" s="88" t="s">
        <v>214</v>
      </c>
      <c r="E334" s="88" t="s">
        <v>779</v>
      </c>
      <c r="F334" s="88" t="s">
        <v>779</v>
      </c>
    </row>
    <row r="335" spans="1:6">
      <c r="B335" s="86">
        <v>421</v>
      </c>
      <c r="D335" s="88" t="s">
        <v>215</v>
      </c>
      <c r="E335" s="88" t="s">
        <v>780</v>
      </c>
      <c r="F335" s="88" t="s">
        <v>780</v>
      </c>
    </row>
    <row r="336" spans="1:6">
      <c r="B336" s="86">
        <v>422</v>
      </c>
      <c r="D336" s="88" t="s">
        <v>216</v>
      </c>
      <c r="E336" s="88" t="s">
        <v>781</v>
      </c>
      <c r="F336" s="88" t="s">
        <v>781</v>
      </c>
    </row>
    <row r="337" spans="2:6">
      <c r="B337" s="86">
        <v>423</v>
      </c>
      <c r="D337" s="88" t="s">
        <v>217</v>
      </c>
      <c r="E337" s="88" t="s">
        <v>782</v>
      </c>
      <c r="F337" s="88" t="s">
        <v>782</v>
      </c>
    </row>
    <row r="338" spans="2:6">
      <c r="B338" s="86">
        <v>424</v>
      </c>
      <c r="D338" s="88" t="s">
        <v>218</v>
      </c>
      <c r="E338" s="88" t="s">
        <v>783</v>
      </c>
      <c r="F338" s="88" t="s">
        <v>783</v>
      </c>
    </row>
    <row r="339" spans="2:6">
      <c r="B339" s="86">
        <v>425</v>
      </c>
      <c r="D339" s="88" t="s">
        <v>219</v>
      </c>
      <c r="E339" s="88" t="s">
        <v>784</v>
      </c>
      <c r="F339" s="88" t="s">
        <v>784</v>
      </c>
    </row>
    <row r="340" spans="2:6">
      <c r="B340" s="86">
        <v>426</v>
      </c>
      <c r="D340" s="88" t="s">
        <v>220</v>
      </c>
      <c r="E340" s="88" t="s">
        <v>785</v>
      </c>
      <c r="F340" s="88" t="s">
        <v>785</v>
      </c>
    </row>
    <row r="341" spans="2:6">
      <c r="B341" s="86">
        <v>427</v>
      </c>
      <c r="D341" s="88" t="s">
        <v>221</v>
      </c>
      <c r="E341" s="88" t="s">
        <v>786</v>
      </c>
      <c r="F341" s="88" t="s">
        <v>786</v>
      </c>
    </row>
    <row r="342" spans="2:6">
      <c r="B342" s="86">
        <v>428</v>
      </c>
      <c r="D342" s="88" t="s">
        <v>222</v>
      </c>
      <c r="E342" s="88" t="s">
        <v>787</v>
      </c>
      <c r="F342" s="88" t="s">
        <v>787</v>
      </c>
    </row>
    <row r="343" spans="2:6">
      <c r="B343" s="86">
        <v>429</v>
      </c>
      <c r="D343" s="88" t="s">
        <v>223</v>
      </c>
      <c r="E343" s="88" t="s">
        <v>788</v>
      </c>
      <c r="F343" s="88" t="s">
        <v>788</v>
      </c>
    </row>
    <row r="344" spans="2:6">
      <c r="B344" s="86">
        <v>430</v>
      </c>
      <c r="D344" s="88" t="s">
        <v>1040</v>
      </c>
      <c r="E344" s="88" t="s">
        <v>1041</v>
      </c>
      <c r="F344" s="88" t="s">
        <v>1041</v>
      </c>
    </row>
    <row r="345" spans="2:6">
      <c r="B345" s="86">
        <v>431</v>
      </c>
      <c r="D345" s="88" t="s">
        <v>1038</v>
      </c>
      <c r="E345" s="88" t="s">
        <v>1039</v>
      </c>
      <c r="F345" s="88" t="s">
        <v>1039</v>
      </c>
    </row>
    <row r="346" spans="2:6">
      <c r="B346" s="86">
        <v>432</v>
      </c>
      <c r="D346" s="88" t="s">
        <v>224</v>
      </c>
      <c r="E346" s="88" t="s">
        <v>1006</v>
      </c>
      <c r="F346" s="88" t="s">
        <v>1006</v>
      </c>
    </row>
    <row r="347" spans="2:6">
      <c r="B347" s="86">
        <v>433</v>
      </c>
      <c r="D347" s="88" t="s">
        <v>225</v>
      </c>
      <c r="E347" s="88" t="s">
        <v>789</v>
      </c>
      <c r="F347" s="88" t="s">
        <v>789</v>
      </c>
    </row>
    <row r="348" spans="2:6">
      <c r="B348" s="86">
        <v>434</v>
      </c>
      <c r="D348" s="88" t="s">
        <v>226</v>
      </c>
      <c r="E348" s="88" t="s">
        <v>790</v>
      </c>
      <c r="F348" s="88" t="s">
        <v>790</v>
      </c>
    </row>
    <row r="349" spans="2:6">
      <c r="B349" s="86">
        <v>435</v>
      </c>
      <c r="D349" s="88" t="s">
        <v>227</v>
      </c>
      <c r="E349" s="88" t="s">
        <v>791</v>
      </c>
      <c r="F349" s="88" t="s">
        <v>791</v>
      </c>
    </row>
    <row r="350" spans="2:6">
      <c r="B350" s="86">
        <v>436</v>
      </c>
      <c r="D350" s="88" t="s">
        <v>228</v>
      </c>
      <c r="E350" s="88" t="s">
        <v>1023</v>
      </c>
      <c r="F350" s="88" t="s">
        <v>1023</v>
      </c>
    </row>
    <row r="351" spans="2:6">
      <c r="B351" s="86">
        <v>437</v>
      </c>
      <c r="D351" s="88" t="s">
        <v>229</v>
      </c>
      <c r="E351" s="88" t="s">
        <v>1024</v>
      </c>
      <c r="F351" s="88" t="s">
        <v>1024</v>
      </c>
    </row>
    <row r="352" spans="2:6">
      <c r="B352" s="86">
        <v>438</v>
      </c>
      <c r="D352" s="88" t="s">
        <v>1042</v>
      </c>
      <c r="E352" s="88" t="s">
        <v>1043</v>
      </c>
      <c r="F352" s="88" t="s">
        <v>1043</v>
      </c>
    </row>
    <row r="353" spans="2:6">
      <c r="B353" s="86">
        <v>439</v>
      </c>
      <c r="D353" s="88" t="s">
        <v>1019</v>
      </c>
      <c r="E353" s="88" t="s">
        <v>1020</v>
      </c>
      <c r="F353" s="88" t="s">
        <v>1020</v>
      </c>
    </row>
    <row r="354" spans="2:6">
      <c r="B354" s="86">
        <v>440</v>
      </c>
      <c r="D354" s="88" t="s">
        <v>463</v>
      </c>
      <c r="E354" s="88" t="s">
        <v>463</v>
      </c>
      <c r="F354" s="88" t="s">
        <v>463</v>
      </c>
    </row>
    <row r="355" spans="2:6" ht="24">
      <c r="B355" s="86">
        <v>441</v>
      </c>
      <c r="C355" s="87" t="s">
        <v>1084</v>
      </c>
      <c r="D355" s="88" t="s">
        <v>1146</v>
      </c>
      <c r="E355" s="88" t="s">
        <v>1145</v>
      </c>
      <c r="F355" s="88" t="s">
        <v>1145</v>
      </c>
    </row>
    <row r="356" spans="2:6">
      <c r="B356" s="86">
        <v>442</v>
      </c>
      <c r="D356" s="88" t="s">
        <v>1199</v>
      </c>
      <c r="E356" s="88" t="s">
        <v>1204</v>
      </c>
      <c r="F356" s="88" t="s">
        <v>1204</v>
      </c>
    </row>
    <row r="357" spans="2:6">
      <c r="B357" s="86">
        <v>443</v>
      </c>
      <c r="C357" s="87" t="s">
        <v>580</v>
      </c>
      <c r="D357" s="88" t="s">
        <v>963</v>
      </c>
      <c r="E357" s="88" t="s">
        <v>965</v>
      </c>
      <c r="F357" s="88" t="s">
        <v>965</v>
      </c>
    </row>
    <row r="358" spans="2:6">
      <c r="B358" s="86">
        <v>444</v>
      </c>
      <c r="D358" s="88" t="s">
        <v>230</v>
      </c>
      <c r="E358" s="88" t="s">
        <v>1007</v>
      </c>
      <c r="F358" s="88" t="s">
        <v>1007</v>
      </c>
    </row>
    <row r="359" spans="2:6" ht="24">
      <c r="B359" s="86">
        <v>445</v>
      </c>
      <c r="D359" s="88" t="s">
        <v>231</v>
      </c>
      <c r="E359" s="88" t="s">
        <v>792</v>
      </c>
      <c r="F359" s="88" t="s">
        <v>792</v>
      </c>
    </row>
    <row r="360" spans="2:6">
      <c r="B360" s="86">
        <v>446</v>
      </c>
      <c r="D360" s="88" t="s">
        <v>232</v>
      </c>
      <c r="E360" s="88" t="s">
        <v>793</v>
      </c>
      <c r="F360" s="88" t="s">
        <v>793</v>
      </c>
    </row>
    <row r="361" spans="2:6">
      <c r="B361" s="86">
        <v>447</v>
      </c>
      <c r="D361" s="88" t="s">
        <v>1211</v>
      </c>
      <c r="E361" s="88" t="s">
        <v>1208</v>
      </c>
      <c r="F361" s="88" t="s">
        <v>1208</v>
      </c>
    </row>
    <row r="362" spans="2:6" ht="24">
      <c r="B362" s="86">
        <v>448</v>
      </c>
      <c r="D362" s="88" t="s">
        <v>233</v>
      </c>
      <c r="E362" s="88" t="s">
        <v>794</v>
      </c>
      <c r="F362" s="88" t="s">
        <v>794</v>
      </c>
    </row>
    <row r="363" spans="2:6">
      <c r="B363" s="86">
        <v>449</v>
      </c>
      <c r="D363" s="197" t="s">
        <v>517</v>
      </c>
      <c r="E363" s="88" t="s">
        <v>518</v>
      </c>
      <c r="F363" s="88" t="s">
        <v>518</v>
      </c>
    </row>
    <row r="364" spans="2:6">
      <c r="B364" s="86">
        <v>450</v>
      </c>
      <c r="D364" s="88" t="s">
        <v>464</v>
      </c>
      <c r="E364" s="88" t="s">
        <v>795</v>
      </c>
      <c r="F364" s="88" t="s">
        <v>795</v>
      </c>
    </row>
    <row r="365" spans="2:6">
      <c r="B365" s="86">
        <v>451</v>
      </c>
      <c r="D365" s="88" t="s">
        <v>234</v>
      </c>
      <c r="E365" s="88" t="s">
        <v>796</v>
      </c>
      <c r="F365" s="88" t="s">
        <v>796</v>
      </c>
    </row>
    <row r="366" spans="2:6">
      <c r="B366" s="86">
        <v>452</v>
      </c>
      <c r="D366" s="88" t="s">
        <v>465</v>
      </c>
      <c r="E366" s="88" t="s">
        <v>961</v>
      </c>
      <c r="F366" s="88" t="s">
        <v>961</v>
      </c>
    </row>
    <row r="367" spans="2:6">
      <c r="B367" s="86">
        <v>453</v>
      </c>
      <c r="D367" s="88" t="s">
        <v>235</v>
      </c>
      <c r="E367" s="88" t="s">
        <v>797</v>
      </c>
      <c r="F367" s="88" t="s">
        <v>797</v>
      </c>
    </row>
    <row r="368" spans="2:6">
      <c r="B368" s="86">
        <v>454</v>
      </c>
      <c r="D368" s="88" t="s">
        <v>236</v>
      </c>
      <c r="E368" s="88" t="s">
        <v>798</v>
      </c>
      <c r="F368" s="88" t="s">
        <v>798</v>
      </c>
    </row>
    <row r="369" spans="2:6">
      <c r="B369" s="86">
        <v>455</v>
      </c>
      <c r="C369" s="87" t="s">
        <v>1084</v>
      </c>
      <c r="D369" s="88" t="s">
        <v>1136</v>
      </c>
      <c r="E369" s="88" t="s">
        <v>563</v>
      </c>
      <c r="F369" s="88" t="s">
        <v>563</v>
      </c>
    </row>
    <row r="370" spans="2:6">
      <c r="B370" s="86">
        <v>456</v>
      </c>
      <c r="D370" s="88" t="s">
        <v>237</v>
      </c>
      <c r="E370" s="88" t="s">
        <v>563</v>
      </c>
      <c r="F370" s="88" t="s">
        <v>563</v>
      </c>
    </row>
    <row r="371" spans="2:6">
      <c r="B371" s="86">
        <v>457</v>
      </c>
      <c r="D371" s="88" t="s">
        <v>238</v>
      </c>
      <c r="E371" s="88" t="s">
        <v>799</v>
      </c>
      <c r="F371" s="88" t="s">
        <v>799</v>
      </c>
    </row>
    <row r="372" spans="2:6">
      <c r="B372" s="86">
        <v>458</v>
      </c>
      <c r="D372" s="88" t="s">
        <v>1344</v>
      </c>
      <c r="E372" s="88" t="s">
        <v>1343</v>
      </c>
      <c r="F372" s="88" t="s">
        <v>1343</v>
      </c>
    </row>
    <row r="373" spans="2:6">
      <c r="B373" s="86">
        <v>459</v>
      </c>
      <c r="D373" s="88" t="s">
        <v>239</v>
      </c>
      <c r="E373" s="88" t="s">
        <v>800</v>
      </c>
      <c r="F373" s="88" t="s">
        <v>800</v>
      </c>
    </row>
    <row r="374" spans="2:6">
      <c r="B374" s="86">
        <v>460</v>
      </c>
      <c r="D374" s="88" t="s">
        <v>240</v>
      </c>
      <c r="F374" s="88"/>
    </row>
    <row r="375" spans="2:6">
      <c r="B375" s="86">
        <v>461</v>
      </c>
      <c r="D375" s="88" t="s">
        <v>466</v>
      </c>
      <c r="E375" s="88" t="s">
        <v>801</v>
      </c>
      <c r="F375" s="88" t="s">
        <v>801</v>
      </c>
    </row>
    <row r="376" spans="2:6" ht="24">
      <c r="B376" s="86">
        <v>462</v>
      </c>
      <c r="D376" s="88" t="s">
        <v>1255</v>
      </c>
      <c r="E376" s="88" t="s">
        <v>802</v>
      </c>
      <c r="F376" s="88" t="s">
        <v>802</v>
      </c>
    </row>
    <row r="377" spans="2:6" ht="24">
      <c r="B377" s="86">
        <v>463</v>
      </c>
      <c r="D377" s="88" t="s">
        <v>241</v>
      </c>
      <c r="E377" s="88" t="s">
        <v>803</v>
      </c>
      <c r="F377" s="88" t="s">
        <v>803</v>
      </c>
    </row>
    <row r="378" spans="2:6">
      <c r="B378" s="86">
        <v>464</v>
      </c>
      <c r="D378" s="88" t="s">
        <v>242</v>
      </c>
      <c r="E378" s="88" t="s">
        <v>804</v>
      </c>
      <c r="F378" s="88" t="s">
        <v>804</v>
      </c>
    </row>
    <row r="379" spans="2:6">
      <c r="B379" s="86">
        <v>465</v>
      </c>
      <c r="D379" s="88" t="s">
        <v>243</v>
      </c>
      <c r="E379" s="88" t="s">
        <v>805</v>
      </c>
      <c r="F379" s="88" t="s">
        <v>805</v>
      </c>
    </row>
    <row r="380" spans="2:6">
      <c r="B380" s="86">
        <v>466</v>
      </c>
      <c r="C380" s="87" t="s">
        <v>1084</v>
      </c>
      <c r="D380" s="88" t="s">
        <v>1128</v>
      </c>
      <c r="E380" s="88" t="s">
        <v>1091</v>
      </c>
      <c r="F380" s="88" t="s">
        <v>1091</v>
      </c>
    </row>
    <row r="381" spans="2:6">
      <c r="B381" s="86">
        <v>467</v>
      </c>
      <c r="C381" s="87" t="s">
        <v>1084</v>
      </c>
      <c r="D381" s="88" t="s">
        <v>1133</v>
      </c>
      <c r="E381" s="88" t="s">
        <v>1097</v>
      </c>
      <c r="F381" s="88" t="s">
        <v>1097</v>
      </c>
    </row>
    <row r="382" spans="2:6">
      <c r="B382" s="86">
        <v>468</v>
      </c>
      <c r="D382" s="88" t="s">
        <v>244</v>
      </c>
      <c r="E382" s="88" t="s">
        <v>806</v>
      </c>
      <c r="F382" s="88" t="s">
        <v>806</v>
      </c>
    </row>
    <row r="383" spans="2:6">
      <c r="B383" s="86">
        <v>469</v>
      </c>
      <c r="C383" s="87" t="s">
        <v>1084</v>
      </c>
      <c r="D383" s="88" t="s">
        <v>1124</v>
      </c>
      <c r="E383" s="88" t="s">
        <v>1087</v>
      </c>
      <c r="F383" s="88" t="s">
        <v>1087</v>
      </c>
    </row>
    <row r="384" spans="2:6" ht="24">
      <c r="B384" s="86">
        <v>470</v>
      </c>
      <c r="C384" s="87" t="s">
        <v>1084</v>
      </c>
      <c r="D384" s="88" t="s">
        <v>1126</v>
      </c>
      <c r="E384" s="88" t="s">
        <v>1090</v>
      </c>
      <c r="F384" s="88" t="s">
        <v>1090</v>
      </c>
    </row>
    <row r="385" spans="2:6">
      <c r="B385" s="86">
        <v>471</v>
      </c>
      <c r="C385" s="87" t="s">
        <v>1084</v>
      </c>
      <c r="D385" s="88" t="s">
        <v>1127</v>
      </c>
      <c r="E385" s="88" t="s">
        <v>1089</v>
      </c>
      <c r="F385" s="88" t="s">
        <v>1089</v>
      </c>
    </row>
    <row r="386" spans="2:6">
      <c r="B386" s="86">
        <v>472</v>
      </c>
      <c r="D386" s="88" t="s">
        <v>245</v>
      </c>
      <c r="E386" s="88" t="s">
        <v>807</v>
      </c>
      <c r="F386" s="88" t="s">
        <v>807</v>
      </c>
    </row>
    <row r="387" spans="2:6">
      <c r="B387" s="86">
        <v>473</v>
      </c>
      <c r="D387" s="88" t="s">
        <v>246</v>
      </c>
      <c r="E387" s="88" t="s">
        <v>808</v>
      </c>
      <c r="F387" s="88" t="s">
        <v>808</v>
      </c>
    </row>
    <row r="388" spans="2:6" ht="36">
      <c r="B388" s="86">
        <v>474</v>
      </c>
      <c r="C388" s="87" t="s">
        <v>1084</v>
      </c>
      <c r="D388" s="88" t="s">
        <v>1148</v>
      </c>
      <c r="E388" s="88" t="s">
        <v>1108</v>
      </c>
      <c r="F388" s="88" t="s">
        <v>1108</v>
      </c>
    </row>
    <row r="389" spans="2:6">
      <c r="B389" s="86">
        <v>475</v>
      </c>
      <c r="D389" s="88" t="s">
        <v>247</v>
      </c>
      <c r="E389" s="88" t="s">
        <v>809</v>
      </c>
      <c r="F389" s="88" t="s">
        <v>809</v>
      </c>
    </row>
    <row r="390" spans="2:6">
      <c r="B390" s="86">
        <v>476</v>
      </c>
      <c r="D390" s="88" t="s">
        <v>1354</v>
      </c>
      <c r="E390" s="88" t="s">
        <v>1355</v>
      </c>
      <c r="F390" s="88" t="s">
        <v>1355</v>
      </c>
    </row>
    <row r="391" spans="2:6">
      <c r="B391" s="86">
        <v>477</v>
      </c>
      <c r="D391" s="88" t="s">
        <v>248</v>
      </c>
      <c r="E391" s="88" t="s">
        <v>554</v>
      </c>
      <c r="F391" s="88" t="s">
        <v>554</v>
      </c>
    </row>
    <row r="392" spans="2:6">
      <c r="B392" s="86">
        <v>478</v>
      </c>
      <c r="D392" s="88" t="s">
        <v>249</v>
      </c>
      <c r="E392" s="88" t="s">
        <v>810</v>
      </c>
      <c r="F392" s="88" t="s">
        <v>810</v>
      </c>
    </row>
    <row r="393" spans="2:6">
      <c r="B393" s="86">
        <v>479</v>
      </c>
      <c r="D393" s="88" t="s">
        <v>250</v>
      </c>
      <c r="E393" s="88" t="s">
        <v>811</v>
      </c>
      <c r="F393" s="88" t="s">
        <v>811</v>
      </c>
    </row>
    <row r="394" spans="2:6">
      <c r="B394" s="86">
        <v>480</v>
      </c>
      <c r="D394" s="88" t="s">
        <v>251</v>
      </c>
      <c r="E394" s="88" t="s">
        <v>812</v>
      </c>
      <c r="F394" s="88" t="s">
        <v>812</v>
      </c>
    </row>
    <row r="395" spans="2:6" ht="24">
      <c r="B395" s="86">
        <v>481</v>
      </c>
      <c r="D395" s="88" t="s">
        <v>252</v>
      </c>
      <c r="E395" s="88" t="s">
        <v>813</v>
      </c>
      <c r="F395" s="88" t="s">
        <v>813</v>
      </c>
    </row>
    <row r="396" spans="2:6">
      <c r="B396" s="86">
        <v>482</v>
      </c>
      <c r="D396" s="88" t="s">
        <v>1350</v>
      </c>
      <c r="E396" s="88" t="s">
        <v>1271</v>
      </c>
      <c r="F396" s="88" t="s">
        <v>1271</v>
      </c>
    </row>
    <row r="397" spans="2:6">
      <c r="B397" s="86">
        <v>483</v>
      </c>
      <c r="D397" s="88" t="s">
        <v>1348</v>
      </c>
      <c r="E397" s="88" t="s">
        <v>1266</v>
      </c>
      <c r="F397" s="88" t="s">
        <v>1266</v>
      </c>
    </row>
    <row r="398" spans="2:6">
      <c r="B398" s="86">
        <v>484</v>
      </c>
      <c r="D398" s="88" t="s">
        <v>1349</v>
      </c>
      <c r="E398" s="88" t="s">
        <v>1267</v>
      </c>
      <c r="F398" s="88" t="s">
        <v>1267</v>
      </c>
    </row>
    <row r="399" spans="2:6">
      <c r="B399" s="86">
        <v>485</v>
      </c>
      <c r="D399" s="88" t="s">
        <v>253</v>
      </c>
      <c r="E399" s="88" t="s">
        <v>814</v>
      </c>
      <c r="F399" s="88" t="s">
        <v>814</v>
      </c>
    </row>
    <row r="400" spans="2:6">
      <c r="B400" s="86">
        <v>486</v>
      </c>
      <c r="C400" s="87" t="s">
        <v>580</v>
      </c>
      <c r="D400" s="88" t="s">
        <v>959</v>
      </c>
      <c r="E400" s="88" t="s">
        <v>960</v>
      </c>
      <c r="F400" s="88" t="s">
        <v>960</v>
      </c>
    </row>
    <row r="401" spans="2:6">
      <c r="B401" s="86">
        <v>487</v>
      </c>
      <c r="D401" s="88" t="s">
        <v>254</v>
      </c>
      <c r="E401" s="88" t="s">
        <v>815</v>
      </c>
      <c r="F401" s="88" t="s">
        <v>815</v>
      </c>
    </row>
    <row r="402" spans="2:6">
      <c r="B402" s="86">
        <v>488</v>
      </c>
      <c r="C402" s="87" t="s">
        <v>989</v>
      </c>
      <c r="D402" s="88" t="s">
        <v>985</v>
      </c>
      <c r="E402" s="88" t="s">
        <v>981</v>
      </c>
      <c r="F402" s="88" t="s">
        <v>981</v>
      </c>
    </row>
    <row r="403" spans="2:6">
      <c r="B403" s="86">
        <v>489</v>
      </c>
      <c r="C403" s="87" t="s">
        <v>989</v>
      </c>
      <c r="D403" s="88" t="s">
        <v>984</v>
      </c>
      <c r="E403" s="88" t="s">
        <v>982</v>
      </c>
      <c r="F403" s="88" t="s">
        <v>982</v>
      </c>
    </row>
    <row r="404" spans="2:6">
      <c r="B404" s="86">
        <v>490</v>
      </c>
      <c r="D404" s="88" t="s">
        <v>255</v>
      </c>
      <c r="E404" s="88" t="s">
        <v>561</v>
      </c>
      <c r="F404" s="88" t="s">
        <v>561</v>
      </c>
    </row>
    <row r="405" spans="2:6">
      <c r="B405" s="86">
        <v>491</v>
      </c>
      <c r="D405" s="88" t="s">
        <v>256</v>
      </c>
      <c r="E405" s="88" t="s">
        <v>816</v>
      </c>
      <c r="F405" s="88" t="s">
        <v>816</v>
      </c>
    </row>
    <row r="406" spans="2:6">
      <c r="B406" s="86">
        <v>492</v>
      </c>
      <c r="C406" s="87" t="s">
        <v>1084</v>
      </c>
      <c r="D406" s="88" t="s">
        <v>1132</v>
      </c>
      <c r="E406" s="88" t="s">
        <v>1096</v>
      </c>
      <c r="F406" s="88" t="s">
        <v>1096</v>
      </c>
    </row>
    <row r="407" spans="2:6">
      <c r="B407" s="86">
        <v>493</v>
      </c>
      <c r="D407" s="88" t="s">
        <v>257</v>
      </c>
      <c r="E407" s="88" t="s">
        <v>817</v>
      </c>
      <c r="F407" s="88" t="s">
        <v>817</v>
      </c>
    </row>
    <row r="408" spans="2:6" ht="48">
      <c r="B408" s="86">
        <v>494</v>
      </c>
      <c r="D408" s="88" t="s">
        <v>258</v>
      </c>
      <c r="E408" s="88" t="s">
        <v>818</v>
      </c>
      <c r="F408" s="88" t="s">
        <v>818</v>
      </c>
    </row>
    <row r="409" spans="2:6">
      <c r="B409" s="86">
        <v>495</v>
      </c>
      <c r="D409" s="88" t="s">
        <v>259</v>
      </c>
      <c r="E409" s="88" t="s">
        <v>819</v>
      </c>
      <c r="F409" s="88" t="s">
        <v>819</v>
      </c>
    </row>
    <row r="410" spans="2:6" ht="24">
      <c r="B410" s="86">
        <v>496</v>
      </c>
      <c r="D410" s="88" t="s">
        <v>260</v>
      </c>
      <c r="E410" s="88" t="s">
        <v>820</v>
      </c>
      <c r="F410" s="88" t="s">
        <v>820</v>
      </c>
    </row>
    <row r="411" spans="2:6" ht="24">
      <c r="B411" s="86">
        <v>497</v>
      </c>
      <c r="D411" s="88" t="s">
        <v>261</v>
      </c>
      <c r="E411" s="88" t="s">
        <v>821</v>
      </c>
      <c r="F411" s="88" t="s">
        <v>821</v>
      </c>
    </row>
    <row r="412" spans="2:6" ht="24">
      <c r="B412" s="86">
        <v>498</v>
      </c>
      <c r="D412" s="88" t="s">
        <v>262</v>
      </c>
      <c r="E412" s="88" t="s">
        <v>822</v>
      </c>
      <c r="F412" s="88" t="s">
        <v>822</v>
      </c>
    </row>
    <row r="413" spans="2:6" ht="24">
      <c r="B413" s="86">
        <v>499</v>
      </c>
      <c r="D413" s="88" t="s">
        <v>263</v>
      </c>
      <c r="E413" s="88" t="s">
        <v>823</v>
      </c>
      <c r="F413" s="88" t="s">
        <v>823</v>
      </c>
    </row>
    <row r="414" spans="2:6" ht="24">
      <c r="B414" s="86">
        <v>500</v>
      </c>
      <c r="D414" s="88" t="s">
        <v>264</v>
      </c>
      <c r="E414" s="88" t="s">
        <v>824</v>
      </c>
      <c r="F414" s="88" t="s">
        <v>824</v>
      </c>
    </row>
    <row r="415" spans="2:6" ht="24">
      <c r="B415" s="86">
        <v>501</v>
      </c>
      <c r="D415" s="88" t="s">
        <v>265</v>
      </c>
      <c r="E415" s="88" t="s">
        <v>825</v>
      </c>
      <c r="F415" s="88" t="s">
        <v>825</v>
      </c>
    </row>
    <row r="416" spans="2:6" ht="24">
      <c r="B416" s="86">
        <v>502</v>
      </c>
      <c r="D416" s="88" t="s">
        <v>266</v>
      </c>
      <c r="E416" s="88" t="s">
        <v>826</v>
      </c>
      <c r="F416" s="88" t="s">
        <v>826</v>
      </c>
    </row>
    <row r="417" spans="2:6" ht="24">
      <c r="B417" s="86">
        <v>503</v>
      </c>
      <c r="D417" s="88" t="s">
        <v>267</v>
      </c>
      <c r="E417" s="88" t="s">
        <v>827</v>
      </c>
      <c r="F417" s="88" t="s">
        <v>827</v>
      </c>
    </row>
    <row r="418" spans="2:6" ht="24">
      <c r="B418" s="86">
        <v>504</v>
      </c>
      <c r="D418" s="88" t="s">
        <v>268</v>
      </c>
      <c r="E418" s="88" t="s">
        <v>828</v>
      </c>
      <c r="F418" s="88" t="s">
        <v>828</v>
      </c>
    </row>
    <row r="419" spans="2:6" ht="24">
      <c r="B419" s="86">
        <v>505</v>
      </c>
      <c r="D419" s="88" t="s">
        <v>269</v>
      </c>
      <c r="E419" s="88" t="s">
        <v>829</v>
      </c>
      <c r="F419" s="88" t="s">
        <v>829</v>
      </c>
    </row>
    <row r="420" spans="2:6" ht="24">
      <c r="B420" s="86">
        <v>506</v>
      </c>
      <c r="D420" s="88" t="s">
        <v>270</v>
      </c>
      <c r="E420" s="88" t="s">
        <v>830</v>
      </c>
      <c r="F420" s="88" t="s">
        <v>830</v>
      </c>
    </row>
    <row r="421" spans="2:6" ht="24">
      <c r="B421" s="86">
        <v>507</v>
      </c>
      <c r="D421" s="88" t="s">
        <v>271</v>
      </c>
      <c r="E421" s="88" t="s">
        <v>831</v>
      </c>
      <c r="F421" s="88" t="s">
        <v>831</v>
      </c>
    </row>
    <row r="422" spans="2:6" ht="24">
      <c r="B422" s="86">
        <v>508</v>
      </c>
      <c r="D422" s="88" t="s">
        <v>272</v>
      </c>
      <c r="E422" s="88" t="s">
        <v>832</v>
      </c>
      <c r="F422" s="88" t="s">
        <v>832</v>
      </c>
    </row>
    <row r="423" spans="2:6" ht="24">
      <c r="B423" s="86">
        <v>509</v>
      </c>
      <c r="D423" s="88" t="s">
        <v>273</v>
      </c>
      <c r="E423" s="88" t="s">
        <v>833</v>
      </c>
      <c r="F423" s="88" t="s">
        <v>833</v>
      </c>
    </row>
    <row r="424" spans="2:6" ht="24">
      <c r="B424" s="86">
        <v>510</v>
      </c>
      <c r="D424" s="88" t="s">
        <v>274</v>
      </c>
      <c r="E424" s="88" t="s">
        <v>834</v>
      </c>
      <c r="F424" s="88" t="s">
        <v>834</v>
      </c>
    </row>
    <row r="425" spans="2:6" ht="24">
      <c r="B425" s="86">
        <v>511</v>
      </c>
      <c r="D425" s="88" t="s">
        <v>275</v>
      </c>
      <c r="E425" s="88" t="s">
        <v>835</v>
      </c>
      <c r="F425" s="88" t="s">
        <v>835</v>
      </c>
    </row>
    <row r="426" spans="2:6" ht="24">
      <c r="B426" s="86">
        <v>512</v>
      </c>
      <c r="D426" s="88" t="s">
        <v>276</v>
      </c>
      <c r="E426" s="88" t="s">
        <v>836</v>
      </c>
      <c r="F426" s="88" t="s">
        <v>836</v>
      </c>
    </row>
    <row r="427" spans="2:6" ht="24">
      <c r="B427" s="86">
        <v>513</v>
      </c>
      <c r="D427" s="88" t="s">
        <v>277</v>
      </c>
      <c r="E427" s="88" t="s">
        <v>837</v>
      </c>
      <c r="F427" s="88" t="s">
        <v>837</v>
      </c>
    </row>
    <row r="428" spans="2:6" ht="24">
      <c r="B428" s="86">
        <v>514</v>
      </c>
      <c r="D428" s="88" t="s">
        <v>278</v>
      </c>
      <c r="E428" s="88" t="s">
        <v>838</v>
      </c>
      <c r="F428" s="88" t="s">
        <v>838</v>
      </c>
    </row>
    <row r="429" spans="2:6" ht="24">
      <c r="B429" s="86">
        <v>515</v>
      </c>
      <c r="D429" s="88" t="s">
        <v>279</v>
      </c>
      <c r="E429" s="88" t="s">
        <v>839</v>
      </c>
      <c r="F429" s="88" t="s">
        <v>839</v>
      </c>
    </row>
    <row r="430" spans="2:6" ht="24">
      <c r="B430" s="86">
        <v>516</v>
      </c>
      <c r="D430" s="88" t="s">
        <v>280</v>
      </c>
      <c r="E430" s="88" t="s">
        <v>840</v>
      </c>
      <c r="F430" s="88" t="s">
        <v>840</v>
      </c>
    </row>
    <row r="431" spans="2:6" ht="24">
      <c r="B431" s="86">
        <v>517</v>
      </c>
      <c r="D431" s="88" t="s">
        <v>467</v>
      </c>
      <c r="E431" s="88" t="s">
        <v>841</v>
      </c>
      <c r="F431" s="88" t="s">
        <v>841</v>
      </c>
    </row>
    <row r="432" spans="2:6" ht="24">
      <c r="B432" s="86">
        <v>518</v>
      </c>
      <c r="D432" s="88" t="s">
        <v>468</v>
      </c>
      <c r="E432" s="88" t="s">
        <v>841</v>
      </c>
      <c r="F432" s="88" t="s">
        <v>841</v>
      </c>
    </row>
    <row r="433" spans="1:27" ht="24">
      <c r="B433" s="86">
        <v>519</v>
      </c>
      <c r="D433" s="88" t="s">
        <v>281</v>
      </c>
      <c r="E433" s="88" t="s">
        <v>842</v>
      </c>
      <c r="F433" s="88" t="s">
        <v>842</v>
      </c>
    </row>
    <row r="434" spans="1:27" ht="24">
      <c r="B434" s="86">
        <v>520</v>
      </c>
      <c r="D434" s="88" t="s">
        <v>282</v>
      </c>
      <c r="E434" s="88" t="s">
        <v>843</v>
      </c>
      <c r="F434" s="88" t="s">
        <v>843</v>
      </c>
    </row>
    <row r="435" spans="1:27" ht="24">
      <c r="B435" s="86">
        <v>521</v>
      </c>
      <c r="D435" s="88" t="s">
        <v>283</v>
      </c>
      <c r="E435" s="88" t="s">
        <v>844</v>
      </c>
      <c r="F435" s="88" t="s">
        <v>844</v>
      </c>
    </row>
    <row r="436" spans="1:27" ht="24">
      <c r="B436" s="86">
        <v>522</v>
      </c>
      <c r="D436" s="88" t="s">
        <v>284</v>
      </c>
      <c r="E436" s="88" t="s">
        <v>845</v>
      </c>
      <c r="F436" s="88" t="s">
        <v>845</v>
      </c>
    </row>
    <row r="437" spans="1:27" ht="24">
      <c r="B437" s="86">
        <v>523</v>
      </c>
      <c r="D437" s="88" t="s">
        <v>469</v>
      </c>
      <c r="E437" s="88" t="s">
        <v>846</v>
      </c>
      <c r="F437" s="88" t="s">
        <v>846</v>
      </c>
    </row>
    <row r="438" spans="1:27" s="197" customFormat="1" ht="24">
      <c r="A438" s="85"/>
      <c r="B438" s="86">
        <v>524</v>
      </c>
      <c r="C438" s="87"/>
      <c r="D438" s="88" t="s">
        <v>470</v>
      </c>
      <c r="E438" s="88" t="s">
        <v>847</v>
      </c>
      <c r="F438" s="88" t="s">
        <v>847</v>
      </c>
      <c r="G438" s="85"/>
      <c r="H438" s="85"/>
      <c r="I438" s="85"/>
      <c r="J438" s="85"/>
      <c r="K438" s="85"/>
      <c r="L438" s="85"/>
      <c r="M438" s="85"/>
      <c r="N438" s="85"/>
      <c r="O438" s="85"/>
      <c r="P438" s="85"/>
      <c r="Q438" s="85"/>
      <c r="R438" s="85"/>
      <c r="S438" s="85"/>
      <c r="T438" s="85"/>
      <c r="U438" s="85"/>
      <c r="V438" s="85"/>
      <c r="W438" s="85"/>
      <c r="X438" s="85"/>
      <c r="Y438" s="85"/>
      <c r="Z438" s="85"/>
      <c r="AA438" s="85"/>
    </row>
    <row r="439" spans="1:27" s="197" customFormat="1">
      <c r="A439" s="85"/>
      <c r="B439" s="86">
        <v>525</v>
      </c>
      <c r="C439" s="87"/>
      <c r="D439" s="88" t="s">
        <v>285</v>
      </c>
      <c r="E439" s="88" t="s">
        <v>848</v>
      </c>
      <c r="F439" s="88" t="s">
        <v>848</v>
      </c>
      <c r="G439" s="85"/>
      <c r="H439" s="85"/>
      <c r="I439" s="85"/>
      <c r="J439" s="85"/>
      <c r="K439" s="85"/>
      <c r="L439" s="85"/>
      <c r="M439" s="85"/>
      <c r="N439" s="85"/>
      <c r="O439" s="85"/>
      <c r="P439" s="85"/>
      <c r="Q439" s="85"/>
      <c r="R439" s="85"/>
      <c r="S439" s="85"/>
      <c r="T439" s="85"/>
      <c r="U439" s="85"/>
      <c r="V439" s="85"/>
      <c r="W439" s="85"/>
      <c r="X439" s="85"/>
      <c r="Y439" s="85"/>
      <c r="Z439" s="85"/>
      <c r="AA439" s="85"/>
    </row>
    <row r="440" spans="1:27" s="198" customFormat="1" ht="36">
      <c r="A440" s="85"/>
      <c r="B440" s="86">
        <v>526</v>
      </c>
      <c r="C440" s="87"/>
      <c r="D440" s="88" t="s">
        <v>286</v>
      </c>
      <c r="E440" s="88" t="s">
        <v>849</v>
      </c>
      <c r="F440" s="88" t="s">
        <v>849</v>
      </c>
      <c r="G440" s="85"/>
      <c r="H440" s="85"/>
      <c r="I440" s="85"/>
      <c r="J440" s="85"/>
      <c r="K440" s="85"/>
      <c r="L440" s="85"/>
      <c r="M440" s="85"/>
      <c r="N440" s="85"/>
      <c r="O440" s="85"/>
      <c r="P440" s="85"/>
      <c r="Q440" s="85"/>
      <c r="R440" s="85"/>
      <c r="S440" s="85"/>
      <c r="T440" s="85"/>
      <c r="U440" s="85"/>
      <c r="V440" s="85"/>
      <c r="W440" s="85"/>
      <c r="X440" s="85"/>
      <c r="Y440" s="85"/>
      <c r="Z440" s="85"/>
      <c r="AA440" s="85"/>
    </row>
    <row r="441" spans="1:27" s="198" customFormat="1">
      <c r="A441" s="85"/>
      <c r="B441" s="86">
        <v>527</v>
      </c>
      <c r="C441" s="87"/>
      <c r="D441" s="88" t="s">
        <v>287</v>
      </c>
      <c r="E441" s="88" t="s">
        <v>850</v>
      </c>
      <c r="F441" s="88" t="s">
        <v>850</v>
      </c>
      <c r="G441" s="85"/>
      <c r="H441" s="85"/>
      <c r="I441" s="85"/>
      <c r="J441" s="85"/>
      <c r="K441" s="85"/>
      <c r="L441" s="85"/>
      <c r="M441" s="85"/>
      <c r="N441" s="85"/>
      <c r="O441" s="85"/>
      <c r="P441" s="85"/>
      <c r="Q441" s="85"/>
      <c r="R441" s="85"/>
      <c r="S441" s="85"/>
      <c r="T441" s="85"/>
      <c r="U441" s="85"/>
      <c r="V441" s="85"/>
      <c r="W441" s="85"/>
      <c r="X441" s="85"/>
      <c r="Y441" s="85"/>
      <c r="Z441" s="85"/>
      <c r="AA441" s="85"/>
    </row>
    <row r="442" spans="1:27" s="198" customFormat="1" ht="36">
      <c r="A442" s="85"/>
      <c r="B442" s="86">
        <v>528</v>
      </c>
      <c r="C442" s="87"/>
      <c r="D442" s="88" t="s">
        <v>288</v>
      </c>
      <c r="E442" s="88" t="s">
        <v>851</v>
      </c>
      <c r="F442" s="88" t="s">
        <v>851</v>
      </c>
      <c r="G442" s="85"/>
      <c r="H442" s="85"/>
      <c r="I442" s="85"/>
      <c r="J442" s="85"/>
      <c r="K442" s="85"/>
      <c r="L442" s="85"/>
      <c r="M442" s="85"/>
      <c r="N442" s="85"/>
      <c r="O442" s="85"/>
      <c r="P442" s="85"/>
      <c r="Q442" s="85"/>
      <c r="R442" s="85"/>
      <c r="S442" s="85"/>
      <c r="T442" s="85"/>
      <c r="U442" s="85"/>
      <c r="V442" s="85"/>
      <c r="W442" s="85"/>
      <c r="X442" s="85"/>
      <c r="Y442" s="85"/>
      <c r="Z442" s="85"/>
      <c r="AA442" s="85"/>
    </row>
    <row r="443" spans="1:27" s="198" customFormat="1" ht="24">
      <c r="A443" s="85"/>
      <c r="B443" s="86">
        <v>529</v>
      </c>
      <c r="C443" s="87"/>
      <c r="D443" s="88" t="s">
        <v>289</v>
      </c>
      <c r="E443" s="88" t="s">
        <v>852</v>
      </c>
      <c r="F443" s="88" t="s">
        <v>852</v>
      </c>
      <c r="G443" s="85"/>
      <c r="H443" s="85"/>
      <c r="I443" s="85"/>
      <c r="J443" s="85"/>
      <c r="K443" s="85"/>
      <c r="L443" s="85"/>
      <c r="M443" s="85"/>
      <c r="N443" s="85"/>
      <c r="O443" s="85"/>
      <c r="P443" s="85"/>
      <c r="Q443" s="85"/>
      <c r="R443" s="85"/>
      <c r="S443" s="85"/>
      <c r="T443" s="85"/>
      <c r="U443" s="85"/>
      <c r="V443" s="85"/>
      <c r="W443" s="85"/>
      <c r="X443" s="85"/>
      <c r="Y443" s="85"/>
      <c r="Z443" s="85"/>
      <c r="AA443" s="85"/>
    </row>
    <row r="444" spans="1:27" s="198" customFormat="1" ht="24">
      <c r="A444" s="85"/>
      <c r="B444" s="86">
        <v>530</v>
      </c>
      <c r="C444" s="87"/>
      <c r="D444" s="88" t="s">
        <v>290</v>
      </c>
      <c r="E444" s="88" t="s">
        <v>853</v>
      </c>
      <c r="F444" s="88" t="s">
        <v>853</v>
      </c>
      <c r="G444" s="85"/>
      <c r="H444" s="85"/>
      <c r="I444" s="85"/>
      <c r="J444" s="85"/>
      <c r="K444" s="85"/>
      <c r="L444" s="85"/>
      <c r="M444" s="85"/>
      <c r="N444" s="85"/>
      <c r="O444" s="85"/>
      <c r="P444" s="85"/>
      <c r="Q444" s="85"/>
      <c r="R444" s="85"/>
      <c r="S444" s="85"/>
      <c r="T444" s="85"/>
      <c r="U444" s="85"/>
      <c r="V444" s="85"/>
      <c r="W444" s="85"/>
      <c r="X444" s="85"/>
      <c r="Y444" s="85"/>
      <c r="Z444" s="85"/>
      <c r="AA444" s="85"/>
    </row>
    <row r="445" spans="1:27" s="198" customFormat="1" ht="24">
      <c r="A445" s="85"/>
      <c r="B445" s="86">
        <v>531</v>
      </c>
      <c r="C445" s="87"/>
      <c r="D445" s="88" t="s">
        <v>291</v>
      </c>
      <c r="E445" s="88" t="s">
        <v>854</v>
      </c>
      <c r="F445" s="88" t="s">
        <v>854</v>
      </c>
      <c r="G445" s="85"/>
      <c r="H445" s="85"/>
      <c r="I445" s="85"/>
      <c r="J445" s="85"/>
      <c r="K445" s="85"/>
      <c r="L445" s="85"/>
      <c r="M445" s="85"/>
      <c r="N445" s="85"/>
      <c r="O445" s="85"/>
      <c r="P445" s="85"/>
      <c r="Q445" s="85"/>
      <c r="R445" s="85"/>
      <c r="S445" s="85"/>
      <c r="T445" s="85"/>
      <c r="U445" s="85"/>
      <c r="V445" s="85"/>
      <c r="W445" s="85"/>
      <c r="X445" s="85"/>
      <c r="Y445" s="85"/>
      <c r="Z445" s="85"/>
      <c r="AA445" s="85"/>
    </row>
    <row r="446" spans="1:27" s="198" customFormat="1" ht="24">
      <c r="A446" s="85"/>
      <c r="B446" s="86">
        <v>532</v>
      </c>
      <c r="C446" s="87"/>
      <c r="D446" s="88" t="s">
        <v>292</v>
      </c>
      <c r="E446" s="88" t="s">
        <v>855</v>
      </c>
      <c r="F446" s="88" t="s">
        <v>855</v>
      </c>
      <c r="G446" s="85"/>
      <c r="H446" s="85"/>
      <c r="I446" s="85"/>
      <c r="J446" s="85"/>
      <c r="K446" s="85"/>
      <c r="L446" s="85"/>
      <c r="M446" s="85"/>
      <c r="N446" s="85"/>
      <c r="O446" s="85"/>
      <c r="P446" s="85"/>
      <c r="Q446" s="85"/>
      <c r="R446" s="85"/>
      <c r="S446" s="85"/>
      <c r="T446" s="85"/>
      <c r="U446" s="85"/>
      <c r="V446" s="85"/>
      <c r="W446" s="85"/>
      <c r="X446" s="85"/>
      <c r="Y446" s="85"/>
      <c r="Z446" s="85"/>
      <c r="AA446" s="85"/>
    </row>
    <row r="447" spans="1:27" s="198" customFormat="1">
      <c r="A447" s="85"/>
      <c r="B447" s="86">
        <v>533</v>
      </c>
      <c r="C447" s="87"/>
      <c r="D447" s="88" t="s">
        <v>293</v>
      </c>
      <c r="E447" s="88" t="s">
        <v>856</v>
      </c>
      <c r="F447" s="88" t="s">
        <v>856</v>
      </c>
      <c r="G447" s="85"/>
      <c r="H447" s="85"/>
      <c r="I447" s="85"/>
      <c r="J447" s="85"/>
      <c r="K447" s="85"/>
      <c r="L447" s="85"/>
      <c r="M447" s="85"/>
      <c r="N447" s="85"/>
      <c r="O447" s="85"/>
      <c r="P447" s="85"/>
      <c r="Q447" s="85"/>
      <c r="R447" s="85"/>
      <c r="S447" s="85"/>
      <c r="T447" s="85"/>
      <c r="U447" s="85"/>
      <c r="V447" s="85"/>
      <c r="W447" s="85"/>
      <c r="X447" s="85"/>
      <c r="Y447" s="85"/>
      <c r="Z447" s="85"/>
      <c r="AA447" s="85"/>
    </row>
    <row r="448" spans="1:27" s="198" customFormat="1">
      <c r="A448" s="85"/>
      <c r="B448" s="86">
        <v>534</v>
      </c>
      <c r="C448" s="87"/>
      <c r="D448" s="88" t="s">
        <v>294</v>
      </c>
      <c r="E448" s="88" t="s">
        <v>857</v>
      </c>
      <c r="F448" s="88" t="s">
        <v>857</v>
      </c>
      <c r="G448" s="85"/>
      <c r="H448" s="85"/>
      <c r="I448" s="85"/>
      <c r="J448" s="85"/>
      <c r="K448" s="85"/>
      <c r="L448" s="85"/>
      <c r="M448" s="85"/>
      <c r="N448" s="85"/>
      <c r="O448" s="85"/>
      <c r="P448" s="85"/>
      <c r="Q448" s="85"/>
      <c r="R448" s="85"/>
      <c r="S448" s="85"/>
      <c r="T448" s="85"/>
      <c r="U448" s="85"/>
      <c r="V448" s="85"/>
      <c r="W448" s="85"/>
      <c r="X448" s="85"/>
      <c r="Y448" s="85"/>
      <c r="Z448" s="85"/>
      <c r="AA448" s="85"/>
    </row>
    <row r="449" spans="1:27" s="198" customFormat="1" ht="24">
      <c r="A449" s="85"/>
      <c r="B449" s="86">
        <v>535</v>
      </c>
      <c r="C449" s="87"/>
      <c r="D449" s="88" t="s">
        <v>295</v>
      </c>
      <c r="E449" s="88" t="s">
        <v>858</v>
      </c>
      <c r="F449" s="88" t="s">
        <v>858</v>
      </c>
      <c r="G449" s="85"/>
      <c r="H449" s="85"/>
      <c r="I449" s="85"/>
      <c r="J449" s="85"/>
      <c r="K449" s="85"/>
      <c r="L449" s="85"/>
      <c r="M449" s="85"/>
      <c r="N449" s="85"/>
      <c r="O449" s="85"/>
      <c r="P449" s="85"/>
      <c r="Q449" s="85"/>
      <c r="R449" s="85"/>
      <c r="S449" s="85"/>
      <c r="T449" s="85"/>
      <c r="U449" s="85"/>
      <c r="V449" s="85"/>
      <c r="W449" s="85"/>
      <c r="X449" s="85"/>
      <c r="Y449" s="85"/>
      <c r="Z449" s="85"/>
      <c r="AA449" s="85"/>
    </row>
    <row r="450" spans="1:27" s="198" customFormat="1">
      <c r="A450" s="85"/>
      <c r="B450" s="86">
        <v>536</v>
      </c>
      <c r="C450" s="87"/>
      <c r="D450" s="88" t="s">
        <v>296</v>
      </c>
      <c r="E450" s="88" t="s">
        <v>859</v>
      </c>
      <c r="F450" s="88" t="s">
        <v>859</v>
      </c>
      <c r="G450" s="85"/>
      <c r="H450" s="85"/>
      <c r="I450" s="85"/>
      <c r="J450" s="85"/>
      <c r="K450" s="85"/>
      <c r="L450" s="85"/>
      <c r="M450" s="85"/>
      <c r="N450" s="85"/>
      <c r="O450" s="85"/>
      <c r="P450" s="85"/>
      <c r="Q450" s="85"/>
      <c r="R450" s="85"/>
      <c r="S450" s="85"/>
      <c r="T450" s="85"/>
      <c r="U450" s="85"/>
      <c r="V450" s="85"/>
      <c r="W450" s="85"/>
      <c r="X450" s="85"/>
      <c r="Y450" s="85"/>
      <c r="Z450" s="85"/>
      <c r="AA450" s="85"/>
    </row>
    <row r="451" spans="1:27">
      <c r="B451" s="86">
        <v>537</v>
      </c>
      <c r="D451" s="88" t="s">
        <v>297</v>
      </c>
      <c r="E451" s="88" t="s">
        <v>860</v>
      </c>
      <c r="F451" s="88" t="s">
        <v>860</v>
      </c>
    </row>
    <row r="452" spans="1:27">
      <c r="B452" s="86">
        <v>538</v>
      </c>
      <c r="D452" s="88" t="s">
        <v>298</v>
      </c>
      <c r="E452" s="88" t="s">
        <v>861</v>
      </c>
      <c r="F452" s="88" t="s">
        <v>861</v>
      </c>
    </row>
    <row r="453" spans="1:27" ht="24">
      <c r="B453" s="86">
        <v>539</v>
      </c>
      <c r="D453" s="88" t="s">
        <v>471</v>
      </c>
      <c r="E453" s="88" t="s">
        <v>862</v>
      </c>
      <c r="F453" s="88" t="s">
        <v>862</v>
      </c>
    </row>
    <row r="454" spans="1:27" ht="48">
      <c r="A454" s="197"/>
      <c r="B454" s="86">
        <v>540</v>
      </c>
      <c r="C454" s="203" t="s">
        <v>503</v>
      </c>
      <c r="D454" s="197" t="s">
        <v>519</v>
      </c>
      <c r="E454" s="197" t="s">
        <v>863</v>
      </c>
      <c r="F454" s="197" t="s">
        <v>863</v>
      </c>
    </row>
    <row r="455" spans="1:27" ht="36">
      <c r="B455" s="86">
        <v>541</v>
      </c>
      <c r="D455" s="88" t="s">
        <v>299</v>
      </c>
      <c r="E455" s="88" t="s">
        <v>864</v>
      </c>
      <c r="F455" s="88" t="s">
        <v>864</v>
      </c>
    </row>
    <row r="456" spans="1:27">
      <c r="B456" s="86">
        <v>542</v>
      </c>
      <c r="D456" s="88" t="s">
        <v>300</v>
      </c>
      <c r="E456" s="88" t="s">
        <v>865</v>
      </c>
      <c r="F456" s="88" t="s">
        <v>865</v>
      </c>
    </row>
    <row r="457" spans="1:27">
      <c r="B457" s="86">
        <v>543</v>
      </c>
      <c r="D457" s="88" t="s">
        <v>301</v>
      </c>
      <c r="E457" s="88" t="s">
        <v>866</v>
      </c>
      <c r="F457" s="88" t="s">
        <v>866</v>
      </c>
    </row>
    <row r="458" spans="1:27">
      <c r="B458" s="86">
        <v>544</v>
      </c>
      <c r="D458" s="88" t="s">
        <v>302</v>
      </c>
      <c r="E458" s="88" t="s">
        <v>867</v>
      </c>
      <c r="F458" s="88" t="s">
        <v>867</v>
      </c>
    </row>
    <row r="459" spans="1:27" ht="24">
      <c r="B459" s="86">
        <v>545</v>
      </c>
      <c r="D459" s="88" t="s">
        <v>979</v>
      </c>
      <c r="E459" s="88" t="s">
        <v>980</v>
      </c>
      <c r="F459" s="88" t="s">
        <v>980</v>
      </c>
    </row>
    <row r="460" spans="1:27">
      <c r="B460" s="86">
        <v>546</v>
      </c>
      <c r="D460" s="88" t="s">
        <v>303</v>
      </c>
      <c r="E460" s="88" t="s">
        <v>868</v>
      </c>
      <c r="F460" s="88" t="s">
        <v>868</v>
      </c>
    </row>
    <row r="461" spans="1:27">
      <c r="B461" s="86">
        <v>547</v>
      </c>
      <c r="D461" s="88" t="s">
        <v>304</v>
      </c>
      <c r="E461" s="88" t="s">
        <v>869</v>
      </c>
      <c r="F461" s="88" t="s">
        <v>869</v>
      </c>
    </row>
    <row r="462" spans="1:27">
      <c r="B462" s="86">
        <v>548</v>
      </c>
      <c r="D462" s="88" t="s">
        <v>305</v>
      </c>
      <c r="E462" s="88" t="s">
        <v>870</v>
      </c>
      <c r="F462" s="88" t="s">
        <v>870</v>
      </c>
    </row>
    <row r="463" spans="1:27" ht="24">
      <c r="B463" s="86">
        <v>549</v>
      </c>
      <c r="D463" s="88" t="s">
        <v>1212</v>
      </c>
      <c r="E463" s="88" t="s">
        <v>1213</v>
      </c>
      <c r="F463" s="88" t="s">
        <v>1213</v>
      </c>
    </row>
    <row r="464" spans="1:27">
      <c r="B464" s="86">
        <v>550</v>
      </c>
      <c r="D464" s="88" t="s">
        <v>1214</v>
      </c>
      <c r="E464" s="88" t="s">
        <v>1215</v>
      </c>
      <c r="F464" s="88" t="s">
        <v>1215</v>
      </c>
    </row>
    <row r="465" spans="2:6" ht="24">
      <c r="B465" s="86">
        <v>551</v>
      </c>
      <c r="D465" s="88" t="s">
        <v>306</v>
      </c>
      <c r="E465" s="88" t="s">
        <v>871</v>
      </c>
      <c r="F465" s="88" t="s">
        <v>871</v>
      </c>
    </row>
    <row r="466" spans="2:6">
      <c r="B466" s="86">
        <v>552</v>
      </c>
      <c r="D466" s="88" t="s">
        <v>472</v>
      </c>
      <c r="E466" s="88" t="s">
        <v>872</v>
      </c>
      <c r="F466" s="88" t="s">
        <v>872</v>
      </c>
    </row>
    <row r="467" spans="2:6" ht="24">
      <c r="B467" s="86">
        <v>553</v>
      </c>
      <c r="D467" s="88" t="s">
        <v>307</v>
      </c>
      <c r="E467" s="88" t="s">
        <v>873</v>
      </c>
      <c r="F467" s="88" t="s">
        <v>873</v>
      </c>
    </row>
    <row r="468" spans="2:6" ht="24">
      <c r="B468" s="86">
        <v>554</v>
      </c>
      <c r="D468" s="88" t="s">
        <v>473</v>
      </c>
      <c r="E468" s="88" t="s">
        <v>874</v>
      </c>
      <c r="F468" s="88" t="s">
        <v>874</v>
      </c>
    </row>
    <row r="469" spans="2:6" ht="24">
      <c r="B469" s="86">
        <v>555</v>
      </c>
      <c r="D469" s="88" t="s">
        <v>308</v>
      </c>
      <c r="E469" s="88" t="s">
        <v>875</v>
      </c>
      <c r="F469" s="88" t="s">
        <v>875</v>
      </c>
    </row>
    <row r="470" spans="2:6">
      <c r="B470" s="86">
        <v>556</v>
      </c>
      <c r="D470" s="88" t="s">
        <v>309</v>
      </c>
      <c r="E470" s="88" t="s">
        <v>876</v>
      </c>
      <c r="F470" s="88" t="s">
        <v>876</v>
      </c>
    </row>
    <row r="471" spans="2:6">
      <c r="B471" s="86">
        <v>557</v>
      </c>
      <c r="C471" s="87" t="s">
        <v>989</v>
      </c>
      <c r="D471" s="88" t="s">
        <v>986</v>
      </c>
      <c r="E471" s="88" t="s">
        <v>987</v>
      </c>
      <c r="F471" s="88" t="s">
        <v>987</v>
      </c>
    </row>
    <row r="472" spans="2:6" ht="24">
      <c r="B472" s="86">
        <v>558</v>
      </c>
      <c r="C472" s="87" t="s">
        <v>989</v>
      </c>
      <c r="D472" s="88" t="s">
        <v>983</v>
      </c>
      <c r="E472" s="88" t="s">
        <v>988</v>
      </c>
      <c r="F472" s="88" t="s">
        <v>988</v>
      </c>
    </row>
    <row r="473" spans="2:6">
      <c r="B473" s="86">
        <v>559</v>
      </c>
      <c r="D473" s="88" t="s">
        <v>310</v>
      </c>
      <c r="E473" s="88" t="s">
        <v>877</v>
      </c>
      <c r="F473" s="88" t="s">
        <v>877</v>
      </c>
    </row>
    <row r="474" spans="2:6">
      <c r="B474" s="86">
        <v>560</v>
      </c>
      <c r="D474" s="88" t="s">
        <v>311</v>
      </c>
      <c r="E474" s="88" t="s">
        <v>878</v>
      </c>
      <c r="F474" s="88" t="s">
        <v>878</v>
      </c>
    </row>
    <row r="475" spans="2:6" ht="36">
      <c r="B475" s="86">
        <v>561</v>
      </c>
      <c r="D475" s="88" t="s">
        <v>378</v>
      </c>
      <c r="E475" s="88" t="s">
        <v>879</v>
      </c>
      <c r="F475" s="88" t="s">
        <v>879</v>
      </c>
    </row>
    <row r="476" spans="2:6">
      <c r="B476" s="86">
        <v>562</v>
      </c>
      <c r="D476" s="88" t="s">
        <v>312</v>
      </c>
      <c r="E476" s="88" t="s">
        <v>880</v>
      </c>
      <c r="F476" s="88" t="s">
        <v>880</v>
      </c>
    </row>
    <row r="477" spans="2:6">
      <c r="B477" s="86">
        <v>563</v>
      </c>
      <c r="D477" s="88" t="s">
        <v>313</v>
      </c>
      <c r="E477" s="88" t="s">
        <v>881</v>
      </c>
      <c r="F477" s="88" t="s">
        <v>881</v>
      </c>
    </row>
    <row r="478" spans="2:6">
      <c r="B478" s="86">
        <v>564</v>
      </c>
      <c r="D478" s="88" t="s">
        <v>314</v>
      </c>
      <c r="E478" s="88" t="s">
        <v>882</v>
      </c>
      <c r="F478" s="88" t="s">
        <v>882</v>
      </c>
    </row>
    <row r="479" spans="2:6">
      <c r="B479" s="86">
        <v>565</v>
      </c>
      <c r="D479" s="88" t="s">
        <v>315</v>
      </c>
      <c r="E479" s="88" t="s">
        <v>883</v>
      </c>
      <c r="F479" s="88" t="s">
        <v>883</v>
      </c>
    </row>
    <row r="480" spans="2:6">
      <c r="B480" s="86">
        <v>566</v>
      </c>
      <c r="D480" s="88" t="s">
        <v>316</v>
      </c>
      <c r="E480" s="88" t="s">
        <v>884</v>
      </c>
      <c r="F480" s="88" t="s">
        <v>884</v>
      </c>
    </row>
    <row r="481" spans="2:6" ht="36">
      <c r="B481" s="86">
        <v>567</v>
      </c>
      <c r="D481" s="88" t="s">
        <v>317</v>
      </c>
      <c r="E481" s="88" t="s">
        <v>885</v>
      </c>
      <c r="F481" s="88" t="s">
        <v>885</v>
      </c>
    </row>
    <row r="482" spans="2:6" ht="24">
      <c r="B482" s="86">
        <v>568</v>
      </c>
      <c r="D482" s="88" t="s">
        <v>318</v>
      </c>
      <c r="E482" s="88" t="s">
        <v>886</v>
      </c>
      <c r="F482" s="88" t="s">
        <v>886</v>
      </c>
    </row>
    <row r="483" spans="2:6">
      <c r="B483" s="86">
        <v>569</v>
      </c>
      <c r="D483" s="88" t="s">
        <v>319</v>
      </c>
      <c r="E483" s="88" t="s">
        <v>887</v>
      </c>
      <c r="F483" s="88" t="s">
        <v>887</v>
      </c>
    </row>
    <row r="484" spans="2:6">
      <c r="B484" s="86">
        <v>570</v>
      </c>
      <c r="D484" s="88" t="s">
        <v>320</v>
      </c>
      <c r="E484" s="88" t="s">
        <v>888</v>
      </c>
      <c r="F484" s="88" t="s">
        <v>888</v>
      </c>
    </row>
    <row r="485" spans="2:6" ht="24">
      <c r="B485" s="86">
        <v>571</v>
      </c>
      <c r="D485" s="88" t="s">
        <v>474</v>
      </c>
      <c r="E485" s="88" t="s">
        <v>889</v>
      </c>
      <c r="F485" s="88" t="s">
        <v>889</v>
      </c>
    </row>
    <row r="486" spans="2:6">
      <c r="B486" s="86">
        <v>572</v>
      </c>
      <c r="D486" s="88" t="s">
        <v>321</v>
      </c>
      <c r="E486" s="88" t="s">
        <v>890</v>
      </c>
      <c r="F486" s="88" t="s">
        <v>890</v>
      </c>
    </row>
    <row r="487" spans="2:6">
      <c r="B487" s="86">
        <v>573</v>
      </c>
      <c r="D487" s="88" t="s">
        <v>322</v>
      </c>
      <c r="E487" s="88" t="s">
        <v>891</v>
      </c>
      <c r="F487" s="88" t="s">
        <v>891</v>
      </c>
    </row>
    <row r="488" spans="2:6">
      <c r="B488" s="86">
        <v>574</v>
      </c>
      <c r="D488" s="88" t="s">
        <v>1228</v>
      </c>
      <c r="E488" s="88" t="s">
        <v>1229</v>
      </c>
      <c r="F488" s="88" t="s">
        <v>1229</v>
      </c>
    </row>
    <row r="489" spans="2:6">
      <c r="B489" s="86">
        <v>575</v>
      </c>
      <c r="D489" s="88" t="s">
        <v>1222</v>
      </c>
      <c r="E489" s="88" t="s">
        <v>1223</v>
      </c>
      <c r="F489" s="88" t="s">
        <v>1223</v>
      </c>
    </row>
    <row r="490" spans="2:6">
      <c r="B490" s="86">
        <v>576</v>
      </c>
      <c r="D490" s="88" t="s">
        <v>323</v>
      </c>
      <c r="E490" s="88" t="s">
        <v>892</v>
      </c>
      <c r="F490" s="88" t="s">
        <v>892</v>
      </c>
    </row>
    <row r="491" spans="2:6">
      <c r="B491" s="86">
        <v>577</v>
      </c>
      <c r="D491" s="88" t="s">
        <v>475</v>
      </c>
      <c r="E491" s="88" t="s">
        <v>893</v>
      </c>
      <c r="F491" s="88" t="s">
        <v>893</v>
      </c>
    </row>
    <row r="492" spans="2:6" ht="36">
      <c r="B492" s="86">
        <v>578</v>
      </c>
      <c r="D492" s="88" t="s">
        <v>476</v>
      </c>
      <c r="E492" s="88" t="s">
        <v>894</v>
      </c>
      <c r="F492" s="88" t="s">
        <v>894</v>
      </c>
    </row>
    <row r="493" spans="2:6">
      <c r="B493" s="86">
        <v>579</v>
      </c>
      <c r="D493" s="88" t="s">
        <v>324</v>
      </c>
      <c r="E493" s="88" t="s">
        <v>895</v>
      </c>
      <c r="F493" s="88" t="s">
        <v>895</v>
      </c>
    </row>
    <row r="494" spans="2:6">
      <c r="B494" s="86">
        <v>580</v>
      </c>
      <c r="D494" s="88" t="s">
        <v>325</v>
      </c>
      <c r="E494" s="88" t="s">
        <v>896</v>
      </c>
      <c r="F494" s="88" t="s">
        <v>896</v>
      </c>
    </row>
    <row r="495" spans="2:6">
      <c r="B495" s="86">
        <v>581</v>
      </c>
      <c r="C495" s="87" t="s">
        <v>580</v>
      </c>
      <c r="D495" s="85" t="s">
        <v>575</v>
      </c>
      <c r="E495" s="201" t="s">
        <v>566</v>
      </c>
      <c r="F495" s="201" t="s">
        <v>566</v>
      </c>
    </row>
    <row r="496" spans="2:6">
      <c r="B496" s="86">
        <v>582</v>
      </c>
      <c r="C496" s="87" t="s">
        <v>580</v>
      </c>
      <c r="D496" s="88" t="s">
        <v>573</v>
      </c>
      <c r="E496" s="201" t="s">
        <v>564</v>
      </c>
      <c r="F496" s="201" t="s">
        <v>564</v>
      </c>
    </row>
    <row r="497" spans="1:6">
      <c r="B497" s="86">
        <v>583</v>
      </c>
      <c r="D497" s="88" t="s">
        <v>326</v>
      </c>
      <c r="E497" s="88" t="s">
        <v>897</v>
      </c>
      <c r="F497" s="88" t="s">
        <v>897</v>
      </c>
    </row>
    <row r="498" spans="1:6" ht="36">
      <c r="B498" s="86">
        <v>584</v>
      </c>
      <c r="D498" s="88" t="s">
        <v>327</v>
      </c>
      <c r="E498" s="88" t="s">
        <v>898</v>
      </c>
      <c r="F498" s="88" t="s">
        <v>898</v>
      </c>
    </row>
    <row r="499" spans="1:6">
      <c r="B499" s="86">
        <v>585</v>
      </c>
      <c r="D499" s="88" t="s">
        <v>328</v>
      </c>
      <c r="E499" s="88" t="s">
        <v>899</v>
      </c>
      <c r="F499" s="88" t="s">
        <v>899</v>
      </c>
    </row>
    <row r="500" spans="1:6">
      <c r="A500" s="198"/>
      <c r="B500" s="86">
        <v>586</v>
      </c>
      <c r="C500" s="199" t="s">
        <v>485</v>
      </c>
      <c r="D500" s="197" t="s">
        <v>491</v>
      </c>
      <c r="E500" s="197" t="s">
        <v>900</v>
      </c>
      <c r="F500" s="197" t="s">
        <v>900</v>
      </c>
    </row>
    <row r="501" spans="1:6">
      <c r="A501" s="198"/>
      <c r="B501" s="86">
        <v>587</v>
      </c>
      <c r="C501" s="199" t="s">
        <v>485</v>
      </c>
      <c r="D501" s="197" t="s">
        <v>520</v>
      </c>
      <c r="E501" s="197" t="s">
        <v>901</v>
      </c>
      <c r="F501" s="197" t="s">
        <v>901</v>
      </c>
    </row>
    <row r="502" spans="1:6">
      <c r="B502" s="86">
        <v>588</v>
      </c>
      <c r="D502" s="88" t="s">
        <v>329</v>
      </c>
      <c r="E502" s="197" t="s">
        <v>902</v>
      </c>
      <c r="F502" s="197" t="s">
        <v>902</v>
      </c>
    </row>
    <row r="503" spans="1:6">
      <c r="B503" s="86">
        <v>589</v>
      </c>
      <c r="D503" s="88" t="s">
        <v>330</v>
      </c>
      <c r="E503" s="88" t="s">
        <v>903</v>
      </c>
      <c r="F503" s="88" t="s">
        <v>903</v>
      </c>
    </row>
    <row r="504" spans="1:6">
      <c r="B504" s="86">
        <v>590</v>
      </c>
      <c r="D504" s="88" t="s">
        <v>331</v>
      </c>
      <c r="E504" s="88" t="s">
        <v>904</v>
      </c>
      <c r="F504" s="88" t="s">
        <v>904</v>
      </c>
    </row>
    <row r="505" spans="1:6" ht="24">
      <c r="B505" s="86">
        <v>591</v>
      </c>
      <c r="D505" s="88" t="s">
        <v>332</v>
      </c>
      <c r="E505" s="88" t="s">
        <v>905</v>
      </c>
      <c r="F505" s="88" t="s">
        <v>905</v>
      </c>
    </row>
    <row r="506" spans="1:6">
      <c r="B506" s="86">
        <v>592</v>
      </c>
      <c r="D506" s="88" t="s">
        <v>333</v>
      </c>
      <c r="E506" s="88" t="s">
        <v>906</v>
      </c>
      <c r="F506" s="88" t="s">
        <v>906</v>
      </c>
    </row>
    <row r="507" spans="1:6" ht="36">
      <c r="B507" s="86">
        <v>593</v>
      </c>
      <c r="D507" s="88" t="s">
        <v>334</v>
      </c>
      <c r="E507" s="88" t="s">
        <v>907</v>
      </c>
      <c r="F507" s="88" t="s">
        <v>907</v>
      </c>
    </row>
    <row r="508" spans="1:6">
      <c r="B508" s="86">
        <v>594</v>
      </c>
      <c r="D508" s="88" t="s">
        <v>335</v>
      </c>
      <c r="E508" s="88" t="s">
        <v>1005</v>
      </c>
      <c r="F508" s="88" t="s">
        <v>1005</v>
      </c>
    </row>
    <row r="509" spans="1:6">
      <c r="B509" s="86">
        <v>595</v>
      </c>
      <c r="D509" s="88" t="s">
        <v>336</v>
      </c>
      <c r="E509" s="88" t="s">
        <v>908</v>
      </c>
      <c r="F509" s="88" t="s">
        <v>908</v>
      </c>
    </row>
    <row r="510" spans="1:6">
      <c r="B510" s="86">
        <v>596</v>
      </c>
      <c r="D510" s="88" t="s">
        <v>337</v>
      </c>
      <c r="E510" s="88" t="s">
        <v>909</v>
      </c>
      <c r="F510" s="88" t="s">
        <v>909</v>
      </c>
    </row>
    <row r="511" spans="1:6">
      <c r="B511" s="86">
        <v>597</v>
      </c>
      <c r="D511" s="88" t="s">
        <v>338</v>
      </c>
      <c r="E511" s="88" t="s">
        <v>910</v>
      </c>
      <c r="F511" s="88" t="s">
        <v>910</v>
      </c>
    </row>
    <row r="512" spans="1:6">
      <c r="B512" s="86">
        <v>598</v>
      </c>
      <c r="D512" s="88" t="s">
        <v>339</v>
      </c>
      <c r="E512" s="88" t="s">
        <v>911</v>
      </c>
      <c r="F512" s="88" t="s">
        <v>911</v>
      </c>
    </row>
    <row r="513" spans="2:6">
      <c r="B513" s="86">
        <v>599</v>
      </c>
      <c r="D513" s="88" t="s">
        <v>340</v>
      </c>
      <c r="E513" s="88" t="s">
        <v>912</v>
      </c>
      <c r="F513" s="88" t="s">
        <v>912</v>
      </c>
    </row>
    <row r="514" spans="2:6">
      <c r="B514" s="86">
        <v>600</v>
      </c>
      <c r="D514" s="88" t="s">
        <v>341</v>
      </c>
      <c r="E514" s="88" t="s">
        <v>341</v>
      </c>
      <c r="F514" s="88" t="s">
        <v>341</v>
      </c>
    </row>
    <row r="515" spans="2:6">
      <c r="B515" s="86">
        <v>601</v>
      </c>
      <c r="D515" s="88" t="s">
        <v>477</v>
      </c>
      <c r="E515" s="88" t="s">
        <v>913</v>
      </c>
      <c r="F515" s="88" t="s">
        <v>913</v>
      </c>
    </row>
    <row r="516" spans="2:6" ht="24">
      <c r="B516" s="86">
        <v>602</v>
      </c>
      <c r="D516" s="88" t="s">
        <v>342</v>
      </c>
      <c r="E516" s="88" t="s">
        <v>914</v>
      </c>
      <c r="F516" s="88" t="s">
        <v>914</v>
      </c>
    </row>
    <row r="517" spans="2:6">
      <c r="B517" s="86">
        <v>603</v>
      </c>
      <c r="D517" s="88" t="s">
        <v>343</v>
      </c>
      <c r="E517" s="88" t="s">
        <v>343</v>
      </c>
      <c r="F517" s="88" t="s">
        <v>343</v>
      </c>
    </row>
    <row r="518" spans="2:6">
      <c r="B518" s="86">
        <v>604</v>
      </c>
      <c r="D518" s="88" t="s">
        <v>1183</v>
      </c>
      <c r="E518" s="88" t="s">
        <v>1185</v>
      </c>
      <c r="F518" s="88" t="s">
        <v>1185</v>
      </c>
    </row>
    <row r="519" spans="2:6">
      <c r="B519" s="86">
        <v>605</v>
      </c>
      <c r="D519" s="88" t="s">
        <v>1182</v>
      </c>
      <c r="E519" s="88" t="s">
        <v>1184</v>
      </c>
      <c r="F519" s="88" t="s">
        <v>1184</v>
      </c>
    </row>
    <row r="520" spans="2:6">
      <c r="B520" s="86">
        <v>606</v>
      </c>
      <c r="D520" s="88" t="s">
        <v>478</v>
      </c>
      <c r="F520" s="88"/>
    </row>
    <row r="521" spans="2:6">
      <c r="B521" s="86">
        <v>607</v>
      </c>
      <c r="D521" s="88" t="s">
        <v>344</v>
      </c>
      <c r="E521" s="88" t="s">
        <v>915</v>
      </c>
      <c r="F521" s="88" t="s">
        <v>915</v>
      </c>
    </row>
    <row r="522" spans="2:6">
      <c r="B522" s="86">
        <v>608</v>
      </c>
      <c r="C522" s="87" t="s">
        <v>989</v>
      </c>
      <c r="D522" s="88" t="s">
        <v>993</v>
      </c>
      <c r="E522" s="88" t="s">
        <v>994</v>
      </c>
      <c r="F522" s="88" t="s">
        <v>994</v>
      </c>
    </row>
    <row r="523" spans="2:6">
      <c r="B523" s="86">
        <v>609</v>
      </c>
      <c r="D523" s="88" t="s">
        <v>479</v>
      </c>
      <c r="E523" s="88" t="s">
        <v>916</v>
      </c>
      <c r="F523" s="88" t="s">
        <v>916</v>
      </c>
    </row>
    <row r="524" spans="2:6">
      <c r="B524" s="86">
        <v>610</v>
      </c>
      <c r="D524" s="88" t="s">
        <v>480</v>
      </c>
      <c r="E524" s="88" t="s">
        <v>917</v>
      </c>
      <c r="F524" s="88" t="s">
        <v>917</v>
      </c>
    </row>
    <row r="525" spans="2:6">
      <c r="B525" s="86">
        <v>611</v>
      </c>
      <c r="D525" s="88" t="s">
        <v>481</v>
      </c>
      <c r="E525" s="88" t="s">
        <v>916</v>
      </c>
      <c r="F525" s="88" t="s">
        <v>916</v>
      </c>
    </row>
    <row r="526" spans="2:6">
      <c r="B526" s="86">
        <v>612</v>
      </c>
      <c r="D526" s="88" t="s">
        <v>345</v>
      </c>
      <c r="E526" s="88" t="s">
        <v>527</v>
      </c>
      <c r="F526" s="88" t="s">
        <v>527</v>
      </c>
    </row>
    <row r="527" spans="2:6">
      <c r="B527" s="86">
        <v>613</v>
      </c>
      <c r="D527" s="88" t="s">
        <v>346</v>
      </c>
      <c r="E527" s="88" t="s">
        <v>918</v>
      </c>
      <c r="F527" s="88" t="s">
        <v>918</v>
      </c>
    </row>
    <row r="528" spans="2:6">
      <c r="B528" s="86">
        <v>614</v>
      </c>
      <c r="D528" s="88" t="s">
        <v>347</v>
      </c>
      <c r="E528" s="88" t="s">
        <v>919</v>
      </c>
      <c r="F528" s="88" t="s">
        <v>919</v>
      </c>
    </row>
    <row r="529" spans="1:6">
      <c r="B529" s="86">
        <v>615</v>
      </c>
      <c r="D529" s="88" t="s">
        <v>1260</v>
      </c>
      <c r="E529" s="88" t="s">
        <v>1262</v>
      </c>
      <c r="F529" s="88" t="s">
        <v>1262</v>
      </c>
    </row>
    <row r="530" spans="1:6">
      <c r="B530" s="86">
        <v>616</v>
      </c>
      <c r="D530" s="88" t="s">
        <v>1259</v>
      </c>
      <c r="E530" s="88" t="s">
        <v>1261</v>
      </c>
      <c r="F530" s="88" t="s">
        <v>1261</v>
      </c>
    </row>
    <row r="531" spans="1:6" ht="24">
      <c r="B531" s="86">
        <v>617</v>
      </c>
      <c r="C531" s="87" t="s">
        <v>1084</v>
      </c>
      <c r="D531" s="88" t="s">
        <v>1125</v>
      </c>
      <c r="E531" s="88" t="s">
        <v>1088</v>
      </c>
      <c r="F531" s="88" t="s">
        <v>1088</v>
      </c>
    </row>
    <row r="532" spans="1:6" ht="36">
      <c r="B532" s="86">
        <v>618</v>
      </c>
      <c r="C532" s="87" t="s">
        <v>1084</v>
      </c>
      <c r="D532" s="88" t="s">
        <v>1141</v>
      </c>
      <c r="E532" s="88" t="s">
        <v>1105</v>
      </c>
      <c r="F532" s="88" t="s">
        <v>1105</v>
      </c>
    </row>
    <row r="533" spans="1:6">
      <c r="B533" s="86">
        <v>619</v>
      </c>
      <c r="D533" s="88" t="s">
        <v>348</v>
      </c>
      <c r="E533" s="88" t="s">
        <v>920</v>
      </c>
      <c r="F533" s="88" t="s">
        <v>920</v>
      </c>
    </row>
    <row r="534" spans="1:6">
      <c r="B534" s="86">
        <v>620</v>
      </c>
      <c r="D534" s="88" t="s">
        <v>1189</v>
      </c>
      <c r="E534" s="88" t="s">
        <v>1190</v>
      </c>
      <c r="F534" s="88" t="s">
        <v>1190</v>
      </c>
    </row>
    <row r="535" spans="1:6">
      <c r="B535" s="86">
        <v>621</v>
      </c>
      <c r="D535" s="88" t="s">
        <v>1062</v>
      </c>
      <c r="E535" s="88" t="s">
        <v>1062</v>
      </c>
      <c r="F535" s="88" t="s">
        <v>1062</v>
      </c>
    </row>
    <row r="536" spans="1:6">
      <c r="B536" s="86">
        <v>622</v>
      </c>
      <c r="D536" s="88" t="s">
        <v>349</v>
      </c>
      <c r="F536" s="88"/>
    </row>
    <row r="537" spans="1:6">
      <c r="B537" s="86">
        <v>623</v>
      </c>
      <c r="D537" s="88" t="s">
        <v>350</v>
      </c>
      <c r="F537" s="88"/>
    </row>
    <row r="538" spans="1:6">
      <c r="B538" s="86">
        <v>624</v>
      </c>
      <c r="D538" s="88" t="s">
        <v>1060</v>
      </c>
      <c r="E538" s="88" t="s">
        <v>1061</v>
      </c>
      <c r="F538" s="88" t="s">
        <v>1061</v>
      </c>
    </row>
    <row r="539" spans="1:6">
      <c r="B539" s="86">
        <v>625</v>
      </c>
      <c r="D539" s="88" t="s">
        <v>351</v>
      </c>
      <c r="E539" s="88" t="s">
        <v>921</v>
      </c>
      <c r="F539" s="88" t="s">
        <v>921</v>
      </c>
    </row>
    <row r="540" spans="1:6">
      <c r="B540" s="86">
        <v>626</v>
      </c>
      <c r="D540" s="88" t="s">
        <v>482</v>
      </c>
      <c r="E540" s="88" t="s">
        <v>922</v>
      </c>
      <c r="F540" s="88" t="s">
        <v>922</v>
      </c>
    </row>
    <row r="541" spans="1:6">
      <c r="B541" s="86">
        <v>627</v>
      </c>
      <c r="D541" s="88" t="s">
        <v>352</v>
      </c>
      <c r="E541" s="88" t="s">
        <v>923</v>
      </c>
      <c r="F541" s="88" t="s">
        <v>923</v>
      </c>
    </row>
    <row r="542" spans="1:6">
      <c r="B542" s="86">
        <v>628</v>
      </c>
      <c r="D542" s="88" t="s">
        <v>410</v>
      </c>
      <c r="E542" s="88" t="s">
        <v>924</v>
      </c>
      <c r="F542" s="88" t="s">
        <v>924</v>
      </c>
    </row>
    <row r="543" spans="1:6">
      <c r="B543" s="86">
        <v>629</v>
      </c>
      <c r="D543" s="88" t="s">
        <v>353</v>
      </c>
      <c r="E543" s="88" t="s">
        <v>923</v>
      </c>
      <c r="F543" s="88" t="s">
        <v>923</v>
      </c>
    </row>
    <row r="544" spans="1:6" ht="24">
      <c r="A544" s="197"/>
      <c r="B544" s="86">
        <v>630</v>
      </c>
      <c r="C544" s="197"/>
      <c r="D544" s="197" t="s">
        <v>521</v>
      </c>
      <c r="E544" s="197" t="s">
        <v>925</v>
      </c>
      <c r="F544" s="197" t="s">
        <v>925</v>
      </c>
    </row>
    <row r="545" spans="2:6">
      <c r="B545" s="86">
        <v>631</v>
      </c>
      <c r="C545" s="87" t="s">
        <v>1084</v>
      </c>
      <c r="D545" s="88" t="s">
        <v>1122</v>
      </c>
      <c r="E545" s="88" t="s">
        <v>1083</v>
      </c>
      <c r="F545" s="88" t="s">
        <v>1083</v>
      </c>
    </row>
    <row r="546" spans="2:6">
      <c r="B546" s="86">
        <v>632</v>
      </c>
      <c r="C546" s="87" t="s">
        <v>1084</v>
      </c>
      <c r="D546" s="88" t="s">
        <v>1389</v>
      </c>
      <c r="E546" s="88" t="s">
        <v>1390</v>
      </c>
      <c r="F546" s="88" t="s">
        <v>1390</v>
      </c>
    </row>
    <row r="547" spans="2:6">
      <c r="B547" s="86">
        <v>633</v>
      </c>
      <c r="D547" s="88" t="s">
        <v>354</v>
      </c>
      <c r="E547" s="88" t="s">
        <v>354</v>
      </c>
      <c r="F547" s="88" t="s">
        <v>354</v>
      </c>
    </row>
    <row r="548" spans="2:6">
      <c r="B548" s="86">
        <v>634</v>
      </c>
      <c r="D548" s="88" t="s">
        <v>355</v>
      </c>
      <c r="E548" s="88" t="s">
        <v>926</v>
      </c>
      <c r="F548" s="88" t="s">
        <v>926</v>
      </c>
    </row>
    <row r="549" spans="2:6">
      <c r="B549" s="86">
        <v>635</v>
      </c>
      <c r="D549" s="88" t="s">
        <v>356</v>
      </c>
      <c r="E549" s="88" t="s">
        <v>927</v>
      </c>
      <c r="F549" s="88" t="s">
        <v>927</v>
      </c>
    </row>
    <row r="550" spans="2:6">
      <c r="B550" s="86">
        <v>636</v>
      </c>
      <c r="D550" s="88" t="s">
        <v>483</v>
      </c>
      <c r="E550" s="88" t="s">
        <v>928</v>
      </c>
      <c r="F550" s="88" t="s">
        <v>928</v>
      </c>
    </row>
    <row r="551" spans="2:6" ht="24">
      <c r="B551" s="86">
        <v>637</v>
      </c>
      <c r="C551" s="87" t="s">
        <v>1084</v>
      </c>
      <c r="D551" s="88" t="s">
        <v>1143</v>
      </c>
      <c r="E551" s="88" t="s">
        <v>1142</v>
      </c>
      <c r="F551" s="88" t="s">
        <v>1142</v>
      </c>
    </row>
    <row r="552" spans="2:6">
      <c r="B552" s="86">
        <v>638</v>
      </c>
      <c r="D552" s="88" t="s">
        <v>357</v>
      </c>
      <c r="E552" s="88" t="s">
        <v>929</v>
      </c>
      <c r="F552" s="88" t="s">
        <v>929</v>
      </c>
    </row>
    <row r="553" spans="2:6" ht="36">
      <c r="B553" s="86">
        <v>639</v>
      </c>
      <c r="C553" s="87" t="s">
        <v>1084</v>
      </c>
      <c r="D553" s="88" t="s">
        <v>1152</v>
      </c>
      <c r="E553" s="88" t="s">
        <v>1112</v>
      </c>
      <c r="F553" s="88" t="s">
        <v>1112</v>
      </c>
    </row>
    <row r="554" spans="2:6">
      <c r="B554" s="86">
        <v>640</v>
      </c>
      <c r="D554" s="88" t="s">
        <v>358</v>
      </c>
      <c r="E554" s="88" t="s">
        <v>930</v>
      </c>
      <c r="F554" s="88" t="s">
        <v>930</v>
      </c>
    </row>
    <row r="555" spans="2:6">
      <c r="B555" s="86">
        <v>641</v>
      </c>
      <c r="D555" s="88" t="s">
        <v>359</v>
      </c>
      <c r="E555" s="88" t="s">
        <v>931</v>
      </c>
      <c r="F555" s="88" t="s">
        <v>931</v>
      </c>
    </row>
    <row r="556" spans="2:6">
      <c r="B556" s="86">
        <v>642</v>
      </c>
      <c r="D556" s="88" t="s">
        <v>484</v>
      </c>
      <c r="E556" s="88" t="s">
        <v>932</v>
      </c>
      <c r="F556" s="88" t="s">
        <v>932</v>
      </c>
    </row>
    <row r="557" spans="2:6" ht="24">
      <c r="B557" s="86">
        <v>643</v>
      </c>
      <c r="D557" s="88" t="s">
        <v>360</v>
      </c>
      <c r="E557" s="88" t="s">
        <v>933</v>
      </c>
      <c r="F557" s="88" t="s">
        <v>933</v>
      </c>
    </row>
    <row r="558" spans="2:6">
      <c r="B558" s="86">
        <v>644</v>
      </c>
      <c r="D558" s="88" t="s">
        <v>361</v>
      </c>
      <c r="E558" s="88" t="s">
        <v>931</v>
      </c>
      <c r="F558" s="88" t="s">
        <v>931</v>
      </c>
    </row>
    <row r="559" spans="2:6">
      <c r="B559" s="86">
        <v>645</v>
      </c>
      <c r="D559" s="88" t="s">
        <v>362</v>
      </c>
      <c r="E559" s="88" t="s">
        <v>934</v>
      </c>
      <c r="F559" s="88" t="s">
        <v>934</v>
      </c>
    </row>
    <row r="560" spans="2:6">
      <c r="B560" s="86">
        <v>646</v>
      </c>
      <c r="D560" s="88" t="s">
        <v>363</v>
      </c>
      <c r="E560" s="88" t="s">
        <v>935</v>
      </c>
      <c r="F560" s="88" t="s">
        <v>935</v>
      </c>
    </row>
    <row r="561" spans="2:27">
      <c r="B561" s="86">
        <v>647</v>
      </c>
      <c r="D561" s="88" t="s">
        <v>364</v>
      </c>
      <c r="E561" s="88" t="s">
        <v>936</v>
      </c>
      <c r="F561" s="88" t="s">
        <v>936</v>
      </c>
    </row>
    <row r="562" spans="2:27">
      <c r="B562" s="86">
        <v>648</v>
      </c>
      <c r="D562" s="88" t="s">
        <v>365</v>
      </c>
      <c r="E562" s="88" t="s">
        <v>937</v>
      </c>
      <c r="F562" s="88" t="s">
        <v>937</v>
      </c>
      <c r="G562" s="197"/>
      <c r="H562" s="197"/>
      <c r="I562" s="197"/>
      <c r="J562" s="197"/>
      <c r="K562" s="197"/>
      <c r="L562" s="197"/>
      <c r="M562" s="197"/>
      <c r="N562" s="197"/>
      <c r="O562" s="197"/>
      <c r="P562" s="197"/>
      <c r="Q562" s="197"/>
      <c r="R562" s="197"/>
      <c r="S562" s="197"/>
      <c r="T562" s="197"/>
      <c r="U562" s="197"/>
      <c r="V562" s="197"/>
      <c r="W562" s="197"/>
      <c r="X562" s="197"/>
      <c r="Y562" s="197"/>
      <c r="Z562" s="197"/>
      <c r="AA562" s="197"/>
    </row>
    <row r="563" spans="2:27" ht="24">
      <c r="B563" s="86">
        <v>649</v>
      </c>
      <c r="D563" s="88" t="s">
        <v>366</v>
      </c>
      <c r="E563" s="88" t="s">
        <v>938</v>
      </c>
      <c r="F563" s="88" t="s">
        <v>938</v>
      </c>
      <c r="G563" s="197"/>
      <c r="H563" s="197"/>
      <c r="I563" s="197"/>
      <c r="J563" s="197"/>
      <c r="K563" s="197"/>
      <c r="L563" s="197"/>
      <c r="M563" s="197"/>
      <c r="N563" s="197"/>
      <c r="O563" s="197"/>
      <c r="P563" s="197"/>
      <c r="Q563" s="197"/>
      <c r="R563" s="197"/>
      <c r="S563" s="197"/>
      <c r="T563" s="197"/>
      <c r="U563" s="197"/>
      <c r="V563" s="197"/>
      <c r="W563" s="197"/>
      <c r="X563" s="197"/>
      <c r="Y563" s="197"/>
      <c r="Z563" s="197"/>
      <c r="AA563" s="197"/>
    </row>
    <row r="564" spans="2:27">
      <c r="B564" s="86">
        <v>650</v>
      </c>
      <c r="D564" s="88" t="s">
        <v>367</v>
      </c>
      <c r="E564" s="88" t="s">
        <v>930</v>
      </c>
      <c r="F564" s="88" t="s">
        <v>930</v>
      </c>
      <c r="G564" s="198"/>
      <c r="H564" s="198"/>
      <c r="I564" s="198"/>
      <c r="J564" s="198"/>
      <c r="K564" s="198"/>
      <c r="L564" s="198"/>
      <c r="M564" s="198"/>
      <c r="N564" s="198"/>
      <c r="O564" s="198"/>
      <c r="P564" s="198"/>
      <c r="Q564" s="198"/>
      <c r="R564" s="198"/>
      <c r="S564" s="198"/>
      <c r="T564" s="198"/>
      <c r="U564" s="198"/>
      <c r="V564" s="198"/>
      <c r="W564" s="198"/>
      <c r="X564" s="198"/>
      <c r="Y564" s="198"/>
      <c r="Z564" s="198"/>
      <c r="AA564" s="198"/>
    </row>
    <row r="565" spans="2:27" ht="24">
      <c r="B565" s="86">
        <v>651</v>
      </c>
      <c r="C565" s="87" t="s">
        <v>1084</v>
      </c>
      <c r="D565" s="88" t="s">
        <v>1144</v>
      </c>
      <c r="E565" s="88" t="s">
        <v>1106</v>
      </c>
      <c r="F565" s="88" t="s">
        <v>1106</v>
      </c>
    </row>
    <row r="566" spans="2:27" ht="24">
      <c r="B566" s="86">
        <v>652</v>
      </c>
      <c r="D566" s="88" t="s">
        <v>368</v>
      </c>
      <c r="E566" s="88" t="s">
        <v>939</v>
      </c>
      <c r="F566" s="88" t="s">
        <v>939</v>
      </c>
      <c r="G566" s="198"/>
      <c r="H566" s="198"/>
      <c r="I566" s="198"/>
      <c r="J566" s="198"/>
      <c r="K566" s="198"/>
      <c r="L566" s="198"/>
      <c r="M566" s="198"/>
      <c r="N566" s="198"/>
      <c r="O566" s="198"/>
      <c r="P566" s="198"/>
      <c r="Q566" s="198"/>
      <c r="R566" s="198"/>
      <c r="S566" s="198"/>
      <c r="T566" s="198"/>
      <c r="U566" s="198"/>
      <c r="V566" s="198"/>
      <c r="W566" s="198"/>
      <c r="X566" s="198"/>
      <c r="Y566" s="198"/>
      <c r="Z566" s="198"/>
      <c r="AA566" s="198"/>
    </row>
    <row r="567" spans="2:27" ht="36">
      <c r="B567" s="86">
        <v>653</v>
      </c>
      <c r="D567" s="88" t="s">
        <v>369</v>
      </c>
      <c r="E567" s="88" t="s">
        <v>940</v>
      </c>
      <c r="F567" s="88" t="s">
        <v>940</v>
      </c>
      <c r="G567" s="198"/>
      <c r="H567" s="198"/>
      <c r="I567" s="198"/>
      <c r="J567" s="198"/>
      <c r="K567" s="198"/>
      <c r="L567" s="198"/>
      <c r="M567" s="198"/>
      <c r="N567" s="198"/>
      <c r="O567" s="198"/>
      <c r="P567" s="198"/>
      <c r="Q567" s="198"/>
      <c r="R567" s="198"/>
      <c r="S567" s="198"/>
      <c r="T567" s="198"/>
      <c r="U567" s="198"/>
      <c r="V567" s="198"/>
      <c r="W567" s="198"/>
      <c r="X567" s="198"/>
      <c r="Y567" s="198"/>
      <c r="Z567" s="198"/>
      <c r="AA567" s="198"/>
    </row>
    <row r="568" spans="2:27">
      <c r="B568" s="86">
        <v>654</v>
      </c>
      <c r="D568" s="88" t="s">
        <v>370</v>
      </c>
      <c r="E568" s="88" t="s">
        <v>941</v>
      </c>
      <c r="F568" s="88" t="s">
        <v>941</v>
      </c>
      <c r="G568" s="198"/>
      <c r="H568" s="198"/>
      <c r="I568" s="198"/>
      <c r="J568" s="198"/>
      <c r="K568" s="198"/>
      <c r="L568" s="198"/>
      <c r="M568" s="198"/>
      <c r="N568" s="198"/>
      <c r="O568" s="198"/>
      <c r="P568" s="198"/>
      <c r="Q568" s="198"/>
      <c r="R568" s="198"/>
      <c r="S568" s="198"/>
      <c r="T568" s="198"/>
      <c r="U568" s="198"/>
      <c r="V568" s="198"/>
      <c r="W568" s="198"/>
      <c r="X568" s="198"/>
      <c r="Y568" s="198"/>
      <c r="Z568" s="198"/>
      <c r="AA568" s="198"/>
    </row>
    <row r="569" spans="2:27" ht="36">
      <c r="B569" s="86">
        <v>655</v>
      </c>
      <c r="D569" s="88" t="s">
        <v>371</v>
      </c>
      <c r="E569" s="88" t="s">
        <v>942</v>
      </c>
      <c r="F569" s="88" t="s">
        <v>942</v>
      </c>
      <c r="G569" s="198"/>
      <c r="H569" s="198"/>
      <c r="I569" s="198"/>
      <c r="J569" s="198"/>
      <c r="K569" s="198"/>
      <c r="L569" s="198"/>
      <c r="M569" s="198"/>
      <c r="N569" s="198"/>
      <c r="O569" s="198"/>
      <c r="P569" s="198"/>
      <c r="Q569" s="198"/>
      <c r="R569" s="198"/>
      <c r="S569" s="198"/>
      <c r="T569" s="198"/>
      <c r="U569" s="198"/>
      <c r="V569" s="198"/>
      <c r="W569" s="198"/>
      <c r="X569" s="198"/>
      <c r="Y569" s="198"/>
      <c r="Z569" s="198"/>
      <c r="AA569" s="198"/>
    </row>
    <row r="570" spans="2:27">
      <c r="B570" s="86">
        <v>656</v>
      </c>
      <c r="D570" s="88" t="s">
        <v>372</v>
      </c>
      <c r="E570" s="88" t="s">
        <v>943</v>
      </c>
      <c r="F570" s="88" t="s">
        <v>943</v>
      </c>
      <c r="G570" s="198"/>
      <c r="H570" s="198"/>
      <c r="I570" s="198"/>
      <c r="J570" s="198"/>
      <c r="K570" s="198"/>
      <c r="L570" s="198"/>
      <c r="M570" s="198"/>
      <c r="N570" s="198"/>
      <c r="O570" s="198"/>
      <c r="P570" s="198"/>
      <c r="Q570" s="198"/>
      <c r="R570" s="198"/>
      <c r="S570" s="198"/>
      <c r="T570" s="198"/>
      <c r="U570" s="198"/>
      <c r="V570" s="198"/>
      <c r="W570" s="198"/>
      <c r="X570" s="198"/>
      <c r="Y570" s="198"/>
      <c r="Z570" s="198"/>
      <c r="AA570" s="198"/>
    </row>
    <row r="571" spans="2:27">
      <c r="B571" s="86">
        <v>657</v>
      </c>
      <c r="D571" s="88" t="s">
        <v>373</v>
      </c>
      <c r="E571" s="88" t="s">
        <v>944</v>
      </c>
      <c r="F571" s="88" t="s">
        <v>944</v>
      </c>
      <c r="G571" s="198"/>
      <c r="H571" s="198"/>
      <c r="I571" s="198"/>
      <c r="J571" s="198"/>
      <c r="K571" s="198"/>
      <c r="L571" s="198"/>
      <c r="M571" s="198"/>
      <c r="N571" s="198"/>
      <c r="O571" s="198"/>
      <c r="P571" s="198"/>
      <c r="Q571" s="198"/>
      <c r="R571" s="198"/>
      <c r="S571" s="198"/>
      <c r="T571" s="198"/>
      <c r="U571" s="198"/>
      <c r="V571" s="198"/>
      <c r="W571" s="198"/>
      <c r="X571" s="198"/>
      <c r="Y571" s="198"/>
      <c r="Z571" s="198"/>
      <c r="AA571" s="198"/>
    </row>
    <row r="572" spans="2:27">
      <c r="B572" s="86">
        <v>658</v>
      </c>
      <c r="D572" s="88" t="s">
        <v>374</v>
      </c>
      <c r="E572" s="88" t="s">
        <v>945</v>
      </c>
      <c r="F572" s="88" t="s">
        <v>945</v>
      </c>
      <c r="G572" s="198"/>
      <c r="H572" s="198"/>
      <c r="I572" s="198"/>
      <c r="J572" s="198"/>
      <c r="K572" s="198"/>
      <c r="L572" s="198"/>
      <c r="M572" s="198"/>
      <c r="N572" s="198"/>
      <c r="O572" s="198"/>
      <c r="P572" s="198"/>
      <c r="Q572" s="198"/>
      <c r="R572" s="198"/>
      <c r="S572" s="198"/>
      <c r="T572" s="198"/>
      <c r="U572" s="198"/>
      <c r="V572" s="198"/>
      <c r="W572" s="198"/>
      <c r="X572" s="198"/>
      <c r="Y572" s="198"/>
      <c r="Z572" s="198"/>
      <c r="AA572" s="198"/>
    </row>
    <row r="573" spans="2:27">
      <c r="B573" s="86">
        <v>659</v>
      </c>
      <c r="D573" s="88" t="s">
        <v>375</v>
      </c>
      <c r="E573" s="88" t="s">
        <v>946</v>
      </c>
      <c r="F573" s="88" t="s">
        <v>946</v>
      </c>
      <c r="G573" s="198"/>
      <c r="H573" s="198"/>
      <c r="I573" s="198"/>
      <c r="J573" s="198"/>
      <c r="K573" s="198"/>
      <c r="L573" s="198"/>
      <c r="M573" s="198"/>
      <c r="N573" s="198"/>
      <c r="O573" s="198"/>
      <c r="P573" s="198"/>
      <c r="Q573" s="198"/>
      <c r="R573" s="198"/>
      <c r="S573" s="198"/>
      <c r="T573" s="198"/>
      <c r="U573" s="198"/>
      <c r="V573" s="198"/>
      <c r="W573" s="198"/>
      <c r="X573" s="198"/>
      <c r="Y573" s="198"/>
      <c r="Z573" s="198"/>
      <c r="AA573" s="198"/>
    </row>
    <row r="574" spans="2:27">
      <c r="B574" s="86">
        <v>660</v>
      </c>
      <c r="D574" s="88" t="s">
        <v>376</v>
      </c>
      <c r="E574" s="88" t="s">
        <v>947</v>
      </c>
      <c r="F574" s="88" t="s">
        <v>947</v>
      </c>
      <c r="G574" s="198"/>
      <c r="H574" s="198"/>
      <c r="I574" s="198"/>
      <c r="J574" s="198"/>
      <c r="K574" s="198"/>
      <c r="L574" s="198"/>
      <c r="M574" s="198"/>
      <c r="N574" s="198"/>
      <c r="O574" s="198"/>
      <c r="P574" s="198"/>
      <c r="Q574" s="198"/>
      <c r="R574" s="198"/>
      <c r="S574" s="198"/>
      <c r="T574" s="198"/>
      <c r="U574" s="198"/>
      <c r="V574" s="198"/>
      <c r="W574" s="198"/>
      <c r="X574" s="198"/>
      <c r="Y574" s="198"/>
      <c r="Z574" s="198"/>
      <c r="AA574" s="198"/>
    </row>
    <row r="575" spans="2:27">
      <c r="B575" s="86">
        <v>661</v>
      </c>
      <c r="D575" s="88" t="s">
        <v>377</v>
      </c>
      <c r="E575" s="88" t="s">
        <v>948</v>
      </c>
      <c r="F575" s="88" t="s">
        <v>948</v>
      </c>
      <c r="G575" s="198"/>
      <c r="H575" s="198"/>
      <c r="I575" s="198"/>
      <c r="J575" s="198"/>
      <c r="K575" s="198"/>
      <c r="L575" s="198"/>
      <c r="M575" s="198"/>
      <c r="N575" s="198"/>
      <c r="O575" s="198"/>
      <c r="P575" s="198"/>
      <c r="Q575" s="198"/>
      <c r="R575" s="198"/>
      <c r="S575" s="198"/>
      <c r="T575" s="198"/>
      <c r="U575" s="198"/>
      <c r="V575" s="198"/>
      <c r="W575" s="198"/>
      <c r="X575" s="198"/>
      <c r="Y575" s="198"/>
      <c r="Z575" s="198"/>
      <c r="AA575" s="198"/>
    </row>
  </sheetData>
  <sortState ref="A14:AA575">
    <sortCondition ref="D14:D575"/>
  </sortState>
  <phoneticPr fontId="2"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34</vt:i4>
      </vt:variant>
    </vt:vector>
  </HeadingPairs>
  <TitlesOfParts>
    <vt:vector size="40" baseType="lpstr">
      <vt:lpstr>Help</vt: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uni2u</cp:lastModifiedBy>
  <cp:lastPrinted>2021-01-28T07:19:38Z</cp:lastPrinted>
  <dcterms:created xsi:type="dcterms:W3CDTF">2018-02-18T09:45:14Z</dcterms:created>
  <dcterms:modified xsi:type="dcterms:W3CDTF">2021-02-02T06:31:22Z</dcterms:modified>
</cp:coreProperties>
</file>