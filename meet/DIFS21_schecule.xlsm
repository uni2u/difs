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0" codeName="{3D1A710C-6663-3D7B-7F91-EC182F24A4BC}"/>
  <workbookPr codeName="ThisWorkbook"/>
  <mc:AlternateContent xmlns:mc="http://schemas.openxmlformats.org/markup-compatibility/2006">
    <mc:Choice Requires="x15">
      <x15ac:absPath xmlns:x15ac="http://schemas.microsoft.com/office/spreadsheetml/2010/11/ac" url="C:\Users\uni2u\Desktop\"/>
    </mc:Choice>
  </mc:AlternateContent>
  <xr:revisionPtr revIDLastSave="0" documentId="13_ncr:1_{0C34BD8D-743D-48FE-B68F-A73430ACB94E}" xr6:coauthVersionLast="36" xr6:coauthVersionMax="45" xr10:uidLastSave="{00000000-0000-0000-0000-000000000000}"/>
  <bookViews>
    <workbookView xWindow="-120" yWindow="-120" windowWidth="29040" windowHeight="1599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Schedule!$D$1:$CP$184</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Calendar!$B$5:$B$292</definedName>
    <definedName name="TOTAL_WORKLOAD">Progress!$B$6</definedName>
    <definedName name="UD_CAL1">Calendar!$E$5:$E$292</definedName>
    <definedName name="UD_CAL2">Calendar!$H$5:$H$292</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CE5" i="2"/>
  <c r="AF6" i="2"/>
  <c r="CE6" i="2"/>
  <c r="AJ7" i="2"/>
  <c r="BI7" i="2"/>
  <c r="AJ8" i="2"/>
  <c r="AQ8" i="2"/>
  <c r="AJ9" i="2"/>
  <c r="AL10" i="2"/>
  <c r="AN11" i="2"/>
  <c r="AP12" i="2"/>
  <c r="AR13" i="2"/>
  <c r="BE13" i="2"/>
  <c r="AR14" i="2"/>
  <c r="AT15" i="2"/>
  <c r="AV16" i="2"/>
  <c r="AX17" i="2"/>
  <c r="AZ18" i="2"/>
  <c r="BB19" i="2"/>
  <c r="BD20" i="2"/>
  <c r="BF21" i="2"/>
  <c r="BI21" i="2"/>
  <c r="BF22" i="2"/>
  <c r="BH23" i="2"/>
  <c r="AF24" i="2"/>
  <c r="CE24" i="2"/>
  <c r="AF25" i="2"/>
  <c r="AM25" i="2"/>
  <c r="AF26" i="2"/>
  <c r="AH27" i="2"/>
  <c r="AJ28" i="2"/>
  <c r="AL29" i="2"/>
  <c r="AN30" i="2"/>
  <c r="AU30" i="2"/>
  <c r="AN31" i="2"/>
  <c r="AP32" i="2"/>
  <c r="AR33" i="2"/>
  <c r="AT34" i="2"/>
  <c r="AV35" i="2"/>
  <c r="BQ35" i="2"/>
  <c r="AV36" i="2"/>
  <c r="AX37" i="2"/>
  <c r="AZ38" i="2"/>
  <c r="BB39" i="2"/>
  <c r="BD40" i="2"/>
  <c r="BF41" i="2"/>
  <c r="BH42" i="2"/>
  <c r="BJ43" i="2"/>
  <c r="BL44" i="2"/>
  <c r="BN45" i="2"/>
  <c r="BP46" i="2"/>
  <c r="BR47" i="2"/>
  <c r="CA47" i="2"/>
  <c r="BR48" i="2"/>
  <c r="BT49" i="2"/>
  <c r="BV50" i="2"/>
  <c r="BX51" i="2"/>
  <c r="BZ52" i="2"/>
  <c r="BX53" i="2"/>
  <c r="CE53" i="2"/>
  <c r="BX54" i="2"/>
  <c r="BZ55" i="2"/>
  <c r="CB56" i="2"/>
  <c r="CD57" i="2"/>
  <c r="AF58" i="2"/>
  <c r="CE58" i="2"/>
  <c r="AF59" i="2"/>
  <c r="BE59" i="2"/>
  <c r="AF60" i="2"/>
  <c r="AH61" i="2"/>
  <c r="AJ62" i="2"/>
  <c r="AL63" i="2"/>
  <c r="AN64" i="2"/>
  <c r="AP65" i="2"/>
  <c r="AN66" i="2"/>
  <c r="AP67" i="2"/>
  <c r="BB68" i="2"/>
  <c r="BD69" i="2"/>
  <c r="AR70" i="2"/>
  <c r="BI70" i="2"/>
  <c r="AR71" i="2"/>
  <c r="AT72" i="2"/>
  <c r="AV73" i="2"/>
  <c r="AX74" i="2"/>
  <c r="AZ75" i="2"/>
  <c r="BB76" i="2"/>
  <c r="BD77" i="2"/>
  <c r="AR78" i="2"/>
  <c r="AT79" i="2"/>
  <c r="AV80" i="2"/>
  <c r="AX81" i="2"/>
  <c r="AZ82" i="2"/>
  <c r="BB83" i="2"/>
  <c r="BD84" i="2"/>
  <c r="AR85" i="2"/>
  <c r="AT86" i="2"/>
  <c r="AV87" i="2"/>
  <c r="AX88" i="2"/>
  <c r="AZ89" i="2"/>
  <c r="BB90" i="2"/>
  <c r="BD91" i="2"/>
  <c r="BF92" i="2"/>
  <c r="BH93" i="2"/>
  <c r="BF94" i="2"/>
  <c r="BI94" i="2"/>
  <c r="BF95" i="2"/>
  <c r="BH96" i="2"/>
  <c r="BJ97" i="2"/>
  <c r="CE97" i="2"/>
  <c r="BJ98" i="2"/>
  <c r="BL99" i="2"/>
  <c r="BN100" i="2"/>
  <c r="BP101" i="2"/>
  <c r="BR102" i="2"/>
  <c r="BT103" i="2"/>
  <c r="BV104" i="2"/>
  <c r="BX105" i="2"/>
  <c r="BZ106" i="2"/>
  <c r="CB107" i="2"/>
  <c r="CD108" i="2"/>
  <c r="BJ109" i="2"/>
  <c r="BW109" i="2"/>
  <c r="BJ110" i="2"/>
  <c r="BM110" i="2"/>
  <c r="BJ111" i="2"/>
  <c r="BL112" i="2"/>
  <c r="BN113" i="2"/>
  <c r="BS113" i="2"/>
  <c r="BN114" i="2"/>
  <c r="BP115" i="2"/>
  <c r="BR116" i="2"/>
  <c r="BT117" i="2"/>
  <c r="BW117" i="2"/>
  <c r="BT118" i="2"/>
  <c r="BV119" i="2"/>
  <c r="AF120" i="2"/>
  <c r="CE120" i="2"/>
  <c r="AF121" i="2"/>
  <c r="CE121" i="2"/>
  <c r="AF122" i="2"/>
  <c r="AQ122" i="2"/>
  <c r="AF123" i="2"/>
  <c r="AH124" i="2"/>
  <c r="AJ125" i="2"/>
  <c r="AL126" i="2"/>
  <c r="AN127" i="2"/>
  <c r="AP128" i="2"/>
  <c r="BF129" i="2"/>
  <c r="CE129" i="2"/>
  <c r="BF130" i="2"/>
  <c r="BH131" i="2"/>
  <c r="BJ132" i="2"/>
  <c r="BL133" i="2"/>
  <c r="BN134" i="2"/>
  <c r="BF135" i="2"/>
  <c r="BH136" i="2"/>
  <c r="BJ137" i="2"/>
  <c r="BL138" i="2"/>
  <c r="BN139" i="2"/>
  <c r="BF140" i="2"/>
  <c r="BH141" i="2"/>
  <c r="BJ142" i="2"/>
  <c r="BL143" i="2"/>
  <c r="BN144" i="2"/>
  <c r="BX145" i="2"/>
  <c r="BZ146" i="2"/>
  <c r="CB147" i="2"/>
  <c r="CD148" i="2"/>
  <c r="AR149" i="2"/>
  <c r="CE149" i="2"/>
  <c r="AR150" i="2"/>
  <c r="AY150" i="2"/>
  <c r="AR151" i="2"/>
  <c r="AU151" i="2"/>
  <c r="AR152" i="2"/>
  <c r="AT153" i="2"/>
  <c r="AV154" i="2"/>
  <c r="AY154" i="2"/>
  <c r="AV155" i="2"/>
  <c r="AX156" i="2"/>
  <c r="BX157" i="2"/>
  <c r="CE157" i="2"/>
  <c r="BX158" i="2"/>
  <c r="CA158" i="2"/>
  <c r="BX159" i="2"/>
  <c r="BZ160" i="2"/>
  <c r="CB161" i="2"/>
  <c r="CE161" i="2"/>
  <c r="CB162" i="2"/>
  <c r="CD163" i="2"/>
  <c r="AN164" i="2"/>
  <c r="BQ164" i="2"/>
  <c r="AN165" i="2"/>
  <c r="BQ165" i="2"/>
  <c r="AN166" i="2"/>
  <c r="BQ166" i="2"/>
  <c r="AN167" i="2"/>
  <c r="AP168" i="2"/>
  <c r="AR169" i="2"/>
  <c r="AT170" i="2"/>
  <c r="BJ171" i="2"/>
  <c r="BL172" i="2"/>
  <c r="BN173" i="2"/>
  <c r="BP174" i="2"/>
  <c r="BB175" i="2"/>
  <c r="BI175" i="2"/>
  <c r="BB176" i="2"/>
  <c r="BI176" i="2"/>
  <c r="BB177" i="2"/>
  <c r="BD178" i="2"/>
  <c r="BF179" i="2"/>
  <c r="BH180" i="2"/>
  <c r="BB181" i="2"/>
  <c r="BD182" i="2"/>
  <c r="BF183" i="2"/>
  <c r="BH184" i="2"/>
  <c r="L55" i="4" l="1"/>
  <c r="L54" i="4"/>
  <c r="L53" i="4"/>
  <c r="L52" i="4"/>
  <c r="L51" i="4"/>
  <c r="L50" i="4"/>
  <c r="L49" i="4"/>
  <c r="L48" i="4"/>
  <c r="L47" i="4"/>
  <c r="L46" i="4"/>
  <c r="L45" i="4"/>
  <c r="L44" i="4"/>
  <c r="L43" i="4"/>
  <c r="L42" i="4"/>
  <c r="L41" i="4"/>
  <c r="L40" i="4"/>
  <c r="L39" i="4"/>
  <c r="L38" i="4"/>
  <c r="L37" i="4"/>
  <c r="L36" i="4"/>
  <c r="L35" i="4"/>
  <c r="L34" i="4"/>
  <c r="L33" i="4"/>
  <c r="L31" i="4"/>
  <c r="L30" i="4"/>
  <c r="L29" i="4"/>
  <c r="L28" i="4"/>
  <c r="L27" i="4"/>
  <c r="L26" i="4"/>
  <c r="L25" i="4"/>
  <c r="L24" i="4"/>
  <c r="L23" i="4"/>
  <c r="L22" i="4"/>
  <c r="L21" i="4"/>
  <c r="L20" i="4"/>
  <c r="L19" i="4"/>
  <c r="L18" i="4"/>
  <c r="L17" i="4"/>
  <c r="L16" i="4"/>
  <c r="L15" i="4"/>
  <c r="L14" i="4"/>
  <c r="L13" i="4"/>
  <c r="L12" i="4"/>
  <c r="L11" i="4"/>
  <c r="L10" i="4"/>
  <c r="L9" i="4"/>
  <c r="L8" i="4"/>
  <c r="L7" i="4"/>
  <c r="I56" i="4"/>
  <c r="K56" i="4" s="1"/>
  <c r="L56" i="4" s="1"/>
  <c r="H56" i="4"/>
  <c r="J56" i="4" s="1"/>
  <c r="G56" i="4"/>
  <c r="I32" i="4"/>
  <c r="H32" i="4"/>
  <c r="H58" i="4" s="1"/>
  <c r="G32" i="4"/>
  <c r="D1" i="2"/>
  <c r="J32" i="4" l="1"/>
  <c r="J58" i="4"/>
  <c r="I58" i="4"/>
  <c r="K58" i="4" s="1"/>
  <c r="L58" i="4" s="1"/>
  <c r="G58" i="4"/>
  <c r="K32" i="4"/>
  <c r="L32"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AE1" i="2" a="1"/>
  <c r="AE2"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<sst xmlns="http://schemas.openxmlformats.org/spreadsheetml/2006/main" count="2740" uniqueCount="1803">
  <si>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</si>
  <si>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</si>
  <si>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</si>
  <si>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</si>
  <si>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</si>
  <si>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</si>
  <si>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</si>
  <si>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</si>
  <si>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</si>
  <si>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</si>
  <si>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</si>
  <si>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</si>
  <si>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</si>
  <si>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</si>
  <si>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</si>
  <si>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</si>
  <si>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</si>
  <si>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</si>
  <si>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</si>
  <si>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</si>
  <si>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</si>
  <si>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</si>
  <si>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</si>
  <si>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</si>
  <si>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</si>
  <si>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</si>
  <si>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</si>
  <si>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</si>
  <si>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</si>
  <si>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</si>
  <si>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</si>
  <si>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</si>
  <si>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</si>
  <si>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</si>
  <si>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</si>
  <si>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</si>
  <si>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</si>
  <si>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</si>
  <si>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</si>
  <si>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</si>
  <si>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</si>
  <si>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</si>
  <si>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</si>
  <si>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</si>
  <si>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</si>
  <si>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</si>
  <si>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</si>
  <si>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</si>
  <si>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</si>
  <si>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</si>
  <si>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</si>
  <si>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</si>
  <si>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</si>
  <si>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</si>
  <si>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</si>
  <si>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</si>
  <si>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</si>
  <si>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</si>
  <si>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</si>
  <si>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</si>
  <si>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</si>
  <si>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</si>
  <si>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</si>
  <si>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</si>
  <si>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</si>
  <si>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</si>
  <si>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</si>
  <si>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</si>
  <si>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</si>
  <si>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</si>
  <si>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</si>
  <si>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</si>
  <si>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</si>
  <si>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</si>
  <si>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</si>
  <si>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</si>
  <si>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</si>
  <si>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</si>
  <si>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</si>
  <si>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</si>
  <si>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</si>
  <si>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</si>
  <si>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</si>
  <si>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</si>
  <si>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</si>
  <si>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</si>
  <si>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</si>
  <si>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</si>
  <si>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</si>
  <si>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</si>
  <si>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</si>
  <si>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</si>
  <si>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</si>
  <si>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</si>
  <si>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</si>
  <si>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</si>
  <si>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</si>
  <si>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</si>
  <si>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</si>
  <si>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</si>
  <si>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</si>
  <si>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</si>
  <si>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</si>
  <si>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</si>
  <si>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</si>
  <si>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</si>
  <si>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</si>
  <si>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</si>
  <si>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</si>
  <si>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</si>
  <si>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</si>
  <si>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</si>
  <si>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</si>
  <si>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</si>
  <si>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</si>
  <si>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</si>
  <si>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</si>
  <si>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</si>
  <si>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</si>
  <si>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</si>
  <si>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</si>
  <si>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</si>
  <si>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</si>
  <si>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</si>
  <si>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</si>
  <si>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</si>
  <si>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</si>
  <si>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</si>
  <si>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</si>
  <si>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</si>
  <si>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</si>
  <si>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</si>
  <si>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</si>
  <si>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</si>
  <si>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</si>
  <si>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</si>
  <si>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</si>
  <si>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</si>
  <si>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</si>
  <si>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</si>
  <si>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</si>
  <si>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</si>
  <si>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</si>
  <si>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</si>
  <si>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</si>
  <si>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</si>
  <si>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</si>
  <si>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</si>
  <si>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</si>
  <si>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</si>
  <si>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</si>
  <si>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</si>
  <si>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</si>
  <si>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</si>
  <si>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</si>
  <si>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</si>
  <si>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</si>
  <si>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</si>
  <si>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</si>
  <si>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</si>
  <si>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</si>
  <si>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</si>
  <si>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</si>
  <si>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</si>
  <si>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</si>
  <si>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</si>
  <si>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</si>
  <si>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</si>
  <si>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</si>
  <si>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</si>
  <si>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</si>
  <si>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</si>
  <si>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</si>
  <si>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</si>
  <si>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</si>
  <si>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</si>
  <si>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</si>
  <si>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</si>
  <si>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</si>
  <si>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</si>
  <si>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</si>
  <si>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</si>
  <si>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</si>
  <si>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</si>
  <si>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</si>
  <si>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</si>
  <si>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</si>
  <si>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</si>
  <si>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</si>
  <si>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</si>
  <si>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</si>
  <si>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</si>
  <si>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</si>
  <si>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</si>
  <si>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</si>
  <si>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</si>
  <si>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</si>
  <si>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</si>
  <si>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</si>
  <si>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</si>
  <si>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</si>
  <si>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</si>
  <si>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</si>
  <si>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</si>
  <si>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</si>
  <si>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</si>
  <si>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</si>
  <si>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</si>
  <si>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</si>
  <si>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</si>
  <si>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</si>
  <si>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</si>
  <si>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</si>
  <si>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</si>
  <si>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</si>
  <si>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</si>
  <si>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</si>
  <si>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</si>
  <si>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</si>
  <si>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</si>
  <si>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</si>
  <si>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</si>
  <si>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</si>
  <si>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</si>
  <si>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</si>
  <si>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</si>
  <si>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</si>
  <si>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</si>
  <si>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</si>
  <si>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</si>
  <si>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</si>
  <si>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</si>
  <si>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</si>
  <si>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</si>
  <si>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</si>
  <si>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</si>
  <si>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</si>
  <si>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</si>
  <si>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</si>
  <si>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</si>
  <si>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</si>
  <si>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</si>
  <si>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</si>
  <si>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</si>
  <si>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</si>
  <si>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</si>
  <si>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</si>
  <si>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</si>
  <si>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</si>
  <si>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</si>
  <si>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</si>
  <si>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</si>
  <si>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</si>
  <si>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</si>
  <si>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</si>
  <si>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</si>
  <si>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</si>
  <si>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</si>
  <si>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</si>
  <si>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</si>
  <si>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</si>
  <si>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</si>
  <si>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</si>
  <si>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</si>
  <si>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</si>
  <si>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</si>
  <si>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</si>
  <si>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</si>
  <si>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</si>
  <si>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</si>
  <si>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</si>
  <si>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</si>
  <si>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</si>
  <si>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</si>
  <si>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</si>
  <si>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</si>
  <si>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</si>
  <si>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</si>
  <si>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</si>
  <si>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</si>
  <si>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</si>
  <si>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</si>
  <si>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</si>
  <si>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</si>
  <si>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</si>
  <si>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</si>
  <si>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</si>
  <si>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</si>
  <si>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</si>
  <si>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</si>
  <si>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</si>
  <si>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</si>
  <si>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</si>
  <si>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</si>
  <si>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</si>
  <si>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</si>
  <si>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</si>
  <si>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</si>
  <si>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</si>
  <si>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</si>
  <si>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</si>
  <si>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</si>
  <si>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</si>
  <si>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</si>
  <si>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</si>
  <si>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</si>
  <si>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</si>
  <si>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</si>
  <si>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</si>
  <si>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</si>
  <si>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</si>
  <si>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</si>
  <si>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</si>
  <si>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</si>
  <si>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</si>
  <si>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</si>
  <si>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</si>
  <si>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</si>
  <si>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</si>
  <si>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</si>
  <si>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</si>
  <si>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</si>
  <si>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</si>
  <si>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</si>
  <si>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</si>
  <si>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</si>
  <si>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</si>
  <si>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</si>
  <si>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</si>
  <si>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</si>
  <si>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</si>
  <si>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</si>
  <si>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</si>
  <si>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</si>
  <si>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</si>
  <si>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</si>
  <si>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</si>
  <si>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</si>
  <si>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</si>
  <si>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</si>
  <si>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</si>
  <si>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</si>
  <si>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</si>
  <si>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</si>
  <si>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</si>
  <si>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</si>
  <si>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</si>
  <si>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</si>
  <si>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</si>
  <si>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</si>
  <si>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</si>
  <si>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</si>
  <si>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</si>
  <si>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</si>
  <si>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</si>
  <si>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</si>
  <si>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</si>
  <si>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</si>
  <si>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</si>
  <si>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</si>
  <si>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</si>
  <si>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</si>
  <si>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</si>
  <si>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</si>
  <si>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</si>
  <si>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</si>
  <si>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</si>
  <si>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</si>
  <si>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</si>
  <si>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</si>
  <si>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</si>
  <si>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</si>
  <si>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</si>
  <si>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</si>
  <si>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</si>
  <si>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</si>
  <si>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</si>
  <si>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</si>
  <si>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</si>
  <si>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</si>
  <si>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</si>
  <si>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</si>
  <si>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</si>
  <si>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</si>
  <si>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</si>
  <si>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</si>
  <si>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</si>
  <si>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</si>
  <si>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</si>
  <si>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</si>
  <si>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</si>
  <si>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</si>
  <si>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</si>
  <si>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</si>
  <si>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</si>
  <si>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</si>
  <si>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</si>
  <si>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</si>
  <si>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</si>
  <si>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</si>
  <si>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</si>
  <si>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</si>
  <si>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</si>
  <si>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</si>
  <si>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</si>
  <si>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</si>
  <si>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</si>
  <si>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</si>
  <si>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</si>
  <si>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</si>
  <si>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</si>
  <si>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</si>
  <si>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</si>
  <si>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</si>
  <si>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</si>
  <si>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</si>
  <si>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</si>
  <si>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</si>
  <si>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</si>
  <si>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</si>
  <si>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</si>
  <si>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</si>
  <si>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</si>
  <si>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</si>
  <si>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</si>
  <si>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</si>
  <si>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</si>
  <si>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</si>
  <si>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</si>
  <si>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</si>
  <si>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</si>
  <si>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</si>
  <si>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</si>
  <si>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</si>
  <si>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</si>
  <si>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</si>
  <si>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</si>
  <si>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</si>
  <si>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</si>
  <si>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</si>
  <si>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</si>
  <si>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</si>
  <si>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</si>
  <si>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</si>
  <si>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</si>
  <si>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</si>
  <si>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</si>
  <si>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</si>
  <si>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</si>
  <si>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</si>
  <si>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</si>
  <si>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</si>
  <si>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</si>
  <si>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</si>
  <si>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</si>
  <si>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</si>
  <si>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</si>
  <si>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</si>
  <si>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</si>
  <si>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</si>
  <si>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</si>
  <si>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</si>
  <si>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</si>
  <si>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</si>
  <si>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</si>
  <si>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</si>
  <si>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</si>
  <si>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</si>
  <si>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</si>
  <si>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</si>
  <si>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</si>
  <si>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</si>
  <si>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</si>
  <si>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</si>
  <si>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</si>
  <si>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</si>
  <si>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</si>
  <si>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</si>
  <si>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</si>
  <si>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</si>
  <si>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</si>
  <si>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</si>
  <si>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</si>
  <si>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</si>
  <si>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</si>
  <si>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</si>
  <si>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</si>
  <si>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</si>
  <si>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</si>
  <si>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</si>
  <si>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</si>
  <si>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</si>
  <si>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</si>
  <si>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</si>
  <si>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</si>
  <si>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</si>
  <si>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</si>
  <si>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</si>
  <si>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</si>
  <si>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</si>
  <si>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</si>
  <si>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</si>
  <si>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</si>
  <si>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</si>
  <si>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</si>
  <si>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</si>
  <si>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</si>
  <si>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</si>
  <si>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</si>
  <si>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</si>
  <si>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</si>
  <si>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</si>
  <si>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</si>
  <si>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</si>
  <si>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</si>
  <si>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</si>
  <si>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</si>
  <si>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</si>
  <si>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</si>
  <si>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</si>
  <si>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</si>
  <si>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</si>
  <si>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</si>
  <si>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</si>
  <si>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</si>
  <si>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</si>
  <si>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</si>
  <si>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</si>
  <si>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</si>
  <si>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</si>
  <si>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</si>
  <si>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</si>
  <si>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</si>
  <si>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</si>
  <si>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</si>
  <si>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</si>
  <si>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</si>
  <si>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</si>
  <si>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</si>
  <si>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</si>
  <si>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</si>
  <si>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</si>
  <si>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</si>
  <si>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</si>
  <si>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</si>
  <si>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</si>
  <si>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</si>
  <si>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</si>
  <si>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</si>
  <si>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</si>
  <si>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</si>
  <si>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</si>
  <si>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</si>
  <si>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</si>
  <si>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</si>
  <si>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</si>
  <si>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</si>
  <si>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</si>
  <si>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</si>
  <si>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</si>
  <si>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</si>
  <si>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</si>
  <si>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</si>
  <si>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</si>
  <si>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</si>
  <si>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</si>
  <si>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</si>
  <si>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</si>
  <si>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</si>
  <si>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</si>
  <si>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</si>
  <si>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</si>
  <si>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</si>
  <si>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</si>
  <si>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</si>
  <si>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</si>
  <si>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</si>
  <si>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</si>
  <si>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</si>
  <si>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</si>
  <si>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</si>
  <si>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</si>
  <si>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</si>
  <si>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</si>
  <si>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</si>
  <si>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</si>
  <si>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</si>
  <si>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</si>
  <si>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</si>
  <si>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</si>
  <si>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</si>
  <si>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</si>
  <si>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</si>
  <si>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</si>
  <si>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</si>
  <si>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</si>
  <si>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</si>
  <si>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</si>
  <si>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</si>
  <si>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</si>
  <si>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</si>
  <si>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</si>
  <si>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</si>
  <si>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</si>
  <si>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</si>
  <si>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</si>
  <si>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</si>
  <si>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</si>
  <si>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</si>
  <si>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</si>
  <si>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</si>
  <si>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</si>
  <si>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</si>
  <si>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</si>
  <si>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</si>
  <si>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</si>
  <si>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</si>
  <si>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</si>
  <si>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</si>
  <si>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</si>
  <si>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</si>
  <si>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</si>
  <si>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</si>
  <si>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</si>
  <si>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</si>
  <si>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</si>
  <si>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</si>
  <si>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</si>
  <si>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</si>
  <si>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</si>
  <si>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</si>
  <si>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</si>
  <si>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</si>
  <si>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</si>
  <si>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</si>
  <si>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</si>
  <si>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</si>
  <si>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</si>
  <si>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</si>
  <si>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</si>
  <si>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</si>
  <si>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</si>
  <si>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</si>
  <si>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</si>
  <si>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</si>
  <si>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</si>
  <si>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</si>
  <si>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</si>
  <si>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</si>
  <si>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</si>
  <si>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</si>
  <si>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</si>
  <si>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</si>
  <si>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</si>
  <si>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</si>
  <si>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</si>
  <si>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</si>
  <si>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</si>
  <si>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</si>
  <si>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</si>
  <si>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</si>
  <si>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</si>
  <si>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</si>
  <si>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</si>
  <si>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</si>
  <si>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</si>
  <si>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</si>
  <si>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</si>
  <si>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</si>
  <si>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</si>
  <si>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</si>
  <si>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</si>
  <si>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</si>
  <si>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</si>
  <si>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</si>
  <si>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</si>
  <si>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</si>
  <si>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</si>
  <si>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</si>
  <si>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</si>
  <si>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</si>
  <si>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</si>
  <si>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</si>
  <si>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</si>
  <si>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</si>
  <si>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</si>
  <si>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</si>
  <si>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</si>
  <si>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</si>
  <si>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</si>
  <si>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</si>
  <si>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</si>
  <si>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</si>
  <si>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</si>
  <si>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</si>
  <si>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</si>
  <si>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</si>
  <si>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</si>
  <si>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</si>
  <si>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</si>
  <si>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</si>
  <si>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</si>
  <si>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</si>
  <si>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</si>
  <si>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</si>
  <si>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</si>
  <si>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</si>
  <si>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</si>
  <si>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</si>
  <si>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</si>
  <si>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</si>
  <si>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</si>
  <si>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</si>
  <si>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</si>
  <si>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</si>
  <si>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</si>
  <si>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</si>
  <si>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</si>
  <si>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</si>
  <si>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</si>
  <si>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</si>
  <si>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</si>
  <si>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</si>
  <si>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</si>
  <si>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</si>
  <si>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</si>
  <si>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</si>
  <si>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</si>
  <si>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</si>
  <si>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</si>
  <si>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</si>
  <si>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</si>
  <si>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</si>
  <si>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</si>
  <si>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</si>
  <si>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</si>
  <si>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</si>
  <si>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</si>
  <si>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</si>
  <si>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</si>
  <si>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</si>
  <si>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</si>
  <si>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</si>
  <si>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</si>
  <si>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</si>
  <si>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</si>
  <si>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</si>
  <si>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</si>
  <si>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</si>
  <si>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</si>
  <si>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</si>
  <si>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</si>
  <si>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</si>
  <si>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</si>
  <si>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</si>
  <si>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</si>
  <si>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</si>
  <si>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</si>
  <si>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</si>
  <si>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</si>
  <si>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</si>
  <si>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</si>
  <si>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</si>
  <si>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</si>
  <si>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</si>
  <si>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</si>
  <si>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</si>
  <si>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</si>
  <si>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</si>
  <si>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</si>
  <si>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</si>
  <si>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</si>
  <si>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</si>
  <si>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</si>
  <si>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</si>
  <si>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</si>
  <si>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</si>
  <si>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</si>
  <si>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</si>
  <si>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</si>
  <si>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</si>
  <si>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</si>
  <si>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</si>
  <si>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</si>
  <si>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</si>
  <si>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</si>
  <si>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</si>
  <si>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</si>
  <si>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</si>
  <si>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</si>
  <si>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</si>
  <si>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</si>
  <si>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</si>
  <si>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</si>
  <si>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</si>
  <si>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</si>
  <si>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</si>
  <si>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</si>
  <si>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</si>
  <si>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</si>
  <si>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</si>
  <si>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</si>
  <si>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</si>
  <si>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</si>
  <si>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</si>
  <si>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</si>
  <si>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</si>
  <si>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</si>
  <si>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</si>
  <si>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</si>
  <si>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</si>
  <si>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</si>
  <si>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</si>
  <si>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</si>
  <si>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</si>
  <si>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</si>
  <si>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</si>
  <si>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</si>
  <si>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</si>
  <si>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</si>
  <si>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</si>
  <si>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</si>
  <si>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</si>
  <si>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</si>
  <si>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</si>
  <si>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</si>
  <si>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</si>
  <si>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</si>
  <si>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</si>
  <si>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</si>
  <si>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</si>
  <si>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</si>
  <si>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</si>
  <si>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</si>
  <si>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</si>
  <si>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</si>
  <si>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</si>
  <si>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</si>
  <si>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</si>
  <si>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</si>
  <si>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</si>
  <si>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</si>
  <si>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</si>
  <si>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</si>
  <si>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</si>
  <si>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</si>
  <si>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</si>
  <si>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</si>
  <si>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</si>
  <si>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</si>
  <si>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</si>
  <si>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</si>
  <si>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</si>
  <si>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</si>
  <si>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</si>
  <si>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</si>
  <si>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</si>
  <si>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</si>
  <si>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</si>
  <si>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</si>
  <si>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</si>
  <si>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</si>
  <si>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</si>
  <si>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</si>
  <si>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</si>
  <si>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</si>
  <si>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</si>
  <si>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</si>
  <si>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</si>
  <si>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</si>
  <si>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</si>
  <si>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</si>
  <si>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</si>
  <si>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</si>
  <si>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</si>
  <si>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</si>
  <si>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</si>
  <si>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</si>
  <si>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</si>
  <si>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</si>
  <si>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</si>
  <si>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</si>
  <si>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</si>
  <si>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</si>
  <si>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</si>
  <si>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</si>
  <si>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</si>
  <si>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</si>
  <si>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</si>
  <si>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</si>
  <si>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</si>
  <si>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</si>
  <si>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</si>
  <si>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</si>
  <si>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</si>
  <si>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</si>
  <si>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</si>
  <si>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</si>
  <si>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</si>
  <si>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</si>
  <si>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</si>
  <si>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</si>
  <si>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</si>
  <si>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</si>
  <si>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</si>
  <si>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</si>
  <si>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</si>
  <si>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</si>
  <si>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</si>
  <si>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</si>
  <si>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</si>
  <si>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</si>
  <si>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</si>
  <si>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</si>
  <si>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</si>
  <si>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</si>
  <si>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</si>
  <si>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</si>
  <si>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</si>
  <si>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</si>
  <si>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</si>
  <si>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</si>
  <si>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</si>
  <si>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</si>
  <si>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</si>
  <si>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</si>
  <si>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</si>
  <si>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</si>
  <si>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</si>
  <si>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</si>
  <si>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</si>
  <si>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</si>
  <si>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</si>
  <si>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</si>
  <si>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</si>
  <si>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</si>
  <si>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</si>
  <si>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</si>
  <si>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</si>
  <si>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</si>
  <si>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</si>
  <si>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</si>
  <si>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</si>
  <si>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</si>
  <si>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</si>
  <si>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</si>
  <si>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</si>
  <si>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</si>
  <si>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</si>
  <si>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</si>
  <si>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</si>
  <si>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</si>
  <si>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</si>
  <si>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</si>
  <si>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</si>
  <si>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</si>
  <si>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</si>
  <si>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</si>
  <si>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</si>
  <si>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</si>
  <si>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</si>
  <si>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</si>
  <si>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</si>
  <si>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</si>
  <si>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</si>
  <si>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</si>
  <si>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</si>
  <si>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</si>
  <si>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</si>
  <si>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</si>
  <si>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</si>
  <si>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</si>
  <si>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</si>
  <si>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</si>
  <si>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</si>
  <si>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</si>
  <si>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</si>
  <si>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</si>
  <si>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</si>
  <si>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</si>
  <si>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</si>
  <si>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</si>
  <si>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</si>
  <si>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</si>
  <si>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</si>
  <si>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</si>
  <si>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</si>
  <si>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</si>
  <si>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</si>
  <si>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</si>
  <si>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</si>
  <si>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</si>
  <si>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</si>
  <si>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</si>
  <si>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</si>
  <si>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</si>
  <si>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</si>
  <si>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</si>
  <si>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</si>
  <si>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</si>
  <si>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</si>
  <si>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</si>
  <si>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</si>
  <si>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</si>
  <si>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</si>
  <si>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</si>
  <si>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</si>
  <si>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</si>
  <si>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</si>
  <si>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</si>
  <si>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</si>
  <si>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</si>
  <si>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</si>
  <si>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</si>
  <si>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</si>
  <si>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</si>
  <si>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</si>
  <si>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</si>
  <si>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</si>
  <si>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</si>
  <si>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</si>
  <si>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</si>
  <si>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</si>
  <si>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</si>
  <si>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</si>
  <si>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</si>
  <si>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</si>
  <si>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</si>
  <si>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</si>
  <si>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</si>
  <si>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</si>
  <si>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</si>
  <si>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</si>
  <si>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</si>
  <si>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</si>
  <si>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</si>
  <si>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</si>
  <si>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</si>
  <si>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</si>
  <si>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</si>
  <si>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</si>
  <si>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</si>
  <si>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</si>
  <si>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</si>
  <si>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</si>
  <si>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</si>
  <si>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</si>
  <si>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</si>
  <si>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</si>
  <si>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</si>
  <si>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</si>
  <si>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</si>
  <si>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</si>
  <si>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</si>
  <si>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</si>
  <si>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</si>
  <si>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</si>
  <si>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 Value(C)\nMan-day</t>
    <phoneticPr fontId="2" type="noConversion"/>
  </si>
  <si>
    <t>실적기성( C )\nMan-day</t>
    <phoneticPr fontId="2" type="noConversion"/>
  </si>
  <si>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</si>
  <si>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</si>
  <si>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</si>
  <si>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</si>
  <si>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</si>
  <si>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</si>
  <si>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</si>
  <si>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</si>
  <si>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</si>
  <si>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</si>
  <si>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</si>
  <si>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</si>
  <si>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</si>
  <si>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</si>
  <si>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1.1.3</t>
  </si>
  <si>
    <t>1.3.2</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</si>
  <si>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</si>
  <si>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</si>
  <si>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</si>
  <si>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</si>
  <si>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</si>
  <si>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</si>
  <si>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</si>
  <si>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</si>
  <si>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</si>
  <si>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</si>
  <si>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</si>
  <si>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</si>
  <si>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</si>
  <si>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</si>
  <si>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</si>
  <si>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</si>
  <si>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</si>
  <si>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</si>
  <si>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</si>
  <si>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</si>
  <si>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</si>
  <si>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</si>
  <si>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</si>
  <si>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</si>
  <si>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</si>
  <si>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</si>
  <si>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</si>
  <si>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</si>
  <si>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</si>
  <si>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</si>
  <si>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</si>
  <si>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</si>
  <si>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</si>
  <si>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</si>
  <si>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</si>
  <si>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</si>
  <si>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</si>
  <si>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</si>
  <si>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</si>
  <si>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</si>
  <si>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</si>
  <si>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</si>
  <si>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</si>
  <si>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</si>
  <si>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</si>
  <si>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</si>
  <si>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</si>
  <si>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</si>
  <si>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</si>
  <si>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</si>
  <si>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</si>
  <si>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</si>
  <si>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</si>
  <si>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</si>
  <si>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</si>
  <si>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</si>
  <si>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</si>
  <si>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</si>
  <si>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</si>
  <si>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</si>
  <si>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</si>
  <si>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</si>
  <si>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</si>
  <si>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</si>
  <si>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</si>
  <si>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</si>
  <si>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</si>
  <si>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</si>
  <si>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</si>
  <si>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</si>
  <si>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</si>
  <si>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</si>
  <si>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</si>
  <si>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</si>
  <si>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</si>
  <si>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</si>
  <si>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</si>
  <si>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</si>
  <si>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</si>
  <si>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</si>
  <si>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</si>
  <si>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</si>
  <si>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</si>
  <si>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</si>
  <si>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</si>
  <si>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</si>
  <si>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</si>
  <si>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</si>
  <si>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</si>
  <si>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</si>
  <si>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</si>
  <si>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</si>
  <si>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</si>
  <si>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</si>
  <si>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</si>
  <si>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</si>
  <si>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</si>
  <si>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</si>
  <si>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</si>
  <si>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</si>
  <si>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</si>
  <si>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</si>
  <si>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</si>
  <si>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</si>
  <si>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</si>
  <si>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</si>
  <si>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</si>
  <si>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</si>
  <si>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</si>
  <si>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</si>
  <si>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</si>
  <si>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</si>
  <si>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</si>
  <si>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</si>
  <si>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</si>
  <si>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</si>
  <si>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</si>
  <si>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</si>
  <si>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</si>
  <si>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</si>
  <si>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</si>
  <si>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</si>
  <si>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</si>
  <si>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</si>
  <si>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</si>
  <si>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</si>
  <si>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</si>
  <si>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</si>
  <si>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</si>
  <si>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</si>
  <si>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</si>
  <si>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</si>
  <si>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</si>
  <si>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</si>
  <si>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</si>
  <si>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</si>
  <si>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</si>
  <si>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</si>
  <si>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</si>
  <si>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</si>
  <si>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</si>
  <si>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</si>
  <si>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</si>
  <si>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</si>
  <si>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</si>
  <si>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</si>
  <si>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XYZ시스템 구축</t>
    <phoneticPr fontId="2" type="noConversion"/>
  </si>
  <si>
    <t>W1</t>
  </si>
  <si>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</si>
  <si>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</si>
  <si>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</si>
  <si>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</si>
  <si>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</si>
  <si>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</si>
  <si>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</si>
  <si>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</si>
  <si>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</si>
  <si>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</si>
  <si>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</si>
  <si>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</si>
  <si>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</si>
  <si>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</si>
  <si>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</si>
  <si>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1.1.2.1</t>
  </si>
  <si>
    <t>1.1.2.2</t>
  </si>
  <si>
    <t>2.1.2.1</t>
  </si>
  <si>
    <t>2.1.2.2</t>
  </si>
  <si>
    <t>W5</t>
  </si>
  <si>
    <t>W9</t>
  </si>
  <si>
    <t>W13</t>
  </si>
  <si>
    <t>W17</t>
  </si>
  <si>
    <t>W21</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</si>
  <si>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</si>
  <si>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</si>
  <si>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</si>
  <si>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</si>
  <si>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</si>
  <si>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</si>
  <si>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</si>
  <si>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</si>
  <si>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</si>
  <si>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</si>
  <si>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</si>
  <si>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</si>
  <si>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</si>
  <si>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</si>
  <si>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</si>
  <si>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</si>
  <si>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</si>
  <si>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</si>
  <si>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</si>
  <si>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</si>
  <si>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</si>
  <si>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</si>
  <si>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</si>
  <si>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</si>
  <si>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</si>
  <si>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</si>
  <si>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</si>
  <si>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</si>
  <si>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</si>
  <si>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</si>
  <si>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</si>
  <si>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</si>
  <si>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</si>
  <si>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</si>
  <si>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</si>
  <si>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</si>
  <si>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</si>
  <si>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</si>
  <si>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</si>
  <si>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</si>
  <si>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</si>
  <si>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</si>
  <si>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</si>
  <si>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</si>
  <si>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</si>
  <si>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</si>
  <si>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</si>
  <si>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</si>
  <si>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</si>
  <si>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</si>
  <si>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</si>
  <si>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</si>
  <si>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</si>
  <si>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</si>
  <si>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</si>
  <si>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</si>
  <si>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</si>
  <si>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</si>
  <si>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</si>
  <si>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</si>
  <si>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</si>
  <si>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</si>
  <si>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</si>
  <si>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</si>
  <si>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</si>
  <si>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</si>
  <si>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</si>
  <si>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</si>
  <si>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</si>
  <si>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</si>
  <si>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</si>
  <si>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</si>
  <si>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</si>
  <si>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</si>
  <si>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</si>
  <si>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</si>
  <si>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</si>
  <si>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</si>
  <si>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</si>
  <si>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</si>
  <si>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</si>
  <si>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</si>
  <si>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</si>
  <si>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</si>
  <si>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</si>
  <si>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</si>
  <si>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</si>
  <si>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</si>
  <si>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</si>
  <si>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</si>
  <si>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</si>
  <si>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</si>
  <si>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</si>
  <si>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</si>
  <si>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</si>
  <si>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</si>
  <si>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</si>
  <si>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</si>
  <si>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</si>
  <si>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</si>
  <si>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</si>
  <si>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</si>
  <si>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</si>
  <si>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</si>
  <si>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</si>
  <si>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</si>
  <si>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</si>
  <si>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</si>
  <si>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10066176;10066176;26367;8421504;26367;8421504;16764108;16737792;65280;16737792;13311;65280;14540253;255</t>
    <phoneticPr fontId="2" type="noConversion"/>
  </si>
  <si>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</si>
  <si>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</si>
  <si>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</si>
  <si>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</si>
  <si>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</si>
  <si>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</si>
  <si>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</si>
  <si>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</si>
  <si>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</si>
  <si>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</si>
  <si>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</si>
  <si>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</si>
  <si>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</si>
  <si>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</si>
  <si>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</si>
  <si>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</si>
  <si>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</si>
  <si>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</si>
  <si>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</si>
  <si>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</si>
  <si>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</si>
  <si>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</si>
  <si>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</si>
  <si>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</si>
  <si>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</si>
  <si>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</si>
  <si>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</si>
  <si>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</si>
  <si>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</si>
  <si>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동적 노드 구성</t>
  </si>
  <si>
    <t>KeyValue Store 개선</t>
  </si>
  <si>
    <t>최적화/안정화</t>
  </si>
  <si>
    <t>KOREN적용</t>
  </si>
  <si>
    <t>개념 분석</t>
  </si>
  <si>
    <t>선행 연구 분석</t>
  </si>
  <si>
    <t>신용윤,박세형</t>
  </si>
  <si>
    <t>기능 정의 및 설계</t>
  </si>
  <si>
    <t>필수 기능 정의</t>
  </si>
  <si>
    <t>동적 노드 구성 설계</t>
  </si>
  <si>
    <t>W25</t>
  </si>
  <si>
    <t>W29</t>
  </si>
  <si>
    <t>W33</t>
  </si>
  <si>
    <t>W37</t>
  </si>
  <si>
    <t>W41</t>
  </si>
  <si>
    <t>W45</t>
  </si>
  <si>
    <t>W49</t>
  </si>
  <si>
    <t>1.1.1.1</t>
  </si>
  <si>
    <t>기능 구현</t>
  </si>
  <si>
    <t>기능 테스트 및 디버깅</t>
  </si>
  <si>
    <t>박세형</t>
  </si>
  <si>
    <t>기능개선 (프레임워크 core enabler 고도화)</t>
  </si>
  <si>
    <t>성능개선 (프레임워크 core enabler 고도화)</t>
  </si>
  <si>
    <t>인터페이스 구현</t>
  </si>
  <si>
    <t>연동 테스트</t>
  </si>
  <si>
    <t>신용윤</t>
  </si>
  <si>
    <t>IPR</t>
  </si>
  <si>
    <t>프로파일링 결과 분석</t>
  </si>
  <si>
    <t>1.1.5.1</t>
  </si>
  <si>
    <t>1.1.5.2</t>
  </si>
  <si>
    <t>코드 최적화</t>
  </si>
  <si>
    <t>TM</t>
  </si>
  <si>
    <t>TDP</t>
  </si>
  <si>
    <t>프로그램</t>
  </si>
  <si>
    <t>1.2.4.1</t>
  </si>
  <si>
    <t>1.2.4.2</t>
  </si>
  <si>
    <t>인터페이스 설계</t>
  </si>
  <si>
    <t>모니터링 연동 테스트</t>
  </si>
  <si>
    <t>유닛 테스트 및 디버깅</t>
  </si>
  <si>
    <t>nosql 적용</t>
  </si>
  <si>
    <t>managed DHT 구현</t>
  </si>
  <si>
    <t>1.1.3.1</t>
  </si>
  <si>
    <t>1.1.4.1</t>
  </si>
  <si>
    <t>1.2.1.1</t>
  </si>
  <si>
    <t>1.2.1.2</t>
  </si>
  <si>
    <t>1.2.2.1</t>
  </si>
  <si>
    <t>1.2.3.1</t>
  </si>
  <si>
    <t>1.3.1.1</t>
  </si>
  <si>
    <t>1.3.2.1</t>
  </si>
  <si>
    <t>1.3.3.1</t>
  </si>
  <si>
    <t>KeyValue Store 기능 설계</t>
  </si>
  <si>
    <t>DIFS 2020 프로파일링 결과 분석</t>
  </si>
  <si>
    <t>DIFS 2020 프로파일링</t>
  </si>
  <si>
    <t>DIFS 2020 코드 최적화</t>
  </si>
  <si>
    <t>2.1.1.1</t>
  </si>
  <si>
    <t>2.1.1.2</t>
  </si>
  <si>
    <t>DIFS 2021 프로파일링</t>
  </si>
  <si>
    <t>ForwardingHint 결과분석</t>
  </si>
  <si>
    <t>ForwardingHint 코드 최적화</t>
  </si>
  <si>
    <t>KeyValue Store 결과분석</t>
  </si>
  <si>
    <t>KeyValue Store 코드 최적화</t>
  </si>
  <si>
    <t>user tool 결과분석</t>
  </si>
  <si>
    <t>user tool 코드 최적화</t>
  </si>
  <si>
    <t>동적 노드 구성 결과 분석</t>
  </si>
  <si>
    <t>동적 노드 구성 코드 최적화</t>
  </si>
  <si>
    <t>2.1.2.3</t>
  </si>
  <si>
    <t>2.1.2.4</t>
  </si>
  <si>
    <t>2.1.2.5</t>
  </si>
  <si>
    <t>2.1.2.6</t>
  </si>
  <si>
    <t>2.1.2.7</t>
  </si>
  <si>
    <t>2.1.2.8</t>
  </si>
  <si>
    <t>논문</t>
  </si>
  <si>
    <t>ICACT 2021</t>
  </si>
  <si>
    <t>특허</t>
  </si>
  <si>
    <t>DHT 기반 동적 NDN 노드 구성 방법 (국제)</t>
  </si>
  <si>
    <t>Forward Chain 기반 Stream(실시간) 데이터 인증 방법 (국제)</t>
  </si>
  <si>
    <t>국제</t>
  </si>
  <si>
    <t>4.1.1.1</t>
  </si>
  <si>
    <t>4.1.1.2</t>
  </si>
  <si>
    <t>4.2.1.1</t>
  </si>
  <si>
    <t>4.2.1.2</t>
  </si>
  <si>
    <t>ACM-ICN 2021 (full paper)</t>
  </si>
  <si>
    <t>DIFS 2020 set 구성</t>
  </si>
  <si>
    <t>DIFS 2020</t>
  </si>
  <si>
    <t>노드 구성</t>
  </si>
  <si>
    <t>적용</t>
  </si>
  <si>
    <t>DIFS 2020 적용</t>
  </si>
  <si>
    <t>DIFS 2021</t>
  </si>
  <si>
    <t>DIFS 2021 적용</t>
  </si>
  <si>
    <t>DIFS 2021 set 구성</t>
  </si>
  <si>
    <t>3.1.1.1</t>
  </si>
  <si>
    <t>3.1.2.1</t>
  </si>
  <si>
    <t>3.2.1.1</t>
  </si>
  <si>
    <t>3.2.2.1</t>
  </si>
  <si>
    <t>ForwardingHint 적용</t>
  </si>
  <si>
    <t>Common Name 적용</t>
  </si>
  <si>
    <t>1.2.2.2</t>
  </si>
  <si>
    <t>1.2.2.3</t>
  </si>
  <si>
    <t>담당별_x000D_
진행율</t>
  </si>
  <si>
    <t>자원배정비율</t>
  </si>
  <si>
    <t>총작업량(A)_x000D_
Man-day</t>
  </si>
  <si>
    <t>계획작업량(B)_x000D_
Man-day</t>
  </si>
  <si>
    <t>실적기성( C )_x000D_
Man-day</t>
  </si>
  <si>
    <t>박세형 요약</t>
  </si>
  <si>
    <t>신용윤 요약</t>
  </si>
  <si>
    <t>총합계</t>
  </si>
  <si>
    <t>통합 테스트</t>
  </si>
  <si>
    <t>DIFS Tools 라이브러리화</t>
  </si>
  <si>
    <t>라이브러리 구현</t>
  </si>
  <si>
    <t>1.4</t>
  </si>
  <si>
    <t>1.4.1</t>
  </si>
  <si>
    <t>1.4.1.1</t>
  </si>
  <si>
    <t>1.4.2</t>
  </si>
  <si>
    <t>1.4.2.1</t>
  </si>
  <si>
    <t>1.3.2.2</t>
  </si>
  <si>
    <t>HashChain 고도화</t>
  </si>
  <si>
    <t>20' 모델 분석</t>
  </si>
  <si>
    <t>ndn-cxx 모델 분석</t>
  </si>
  <si>
    <t>1.1.1.2</t>
  </si>
  <si>
    <t>1.1.1.3</t>
  </si>
  <si>
    <t>1.3.1.2</t>
  </si>
  <si>
    <t>21' HashChain 설계 1</t>
  </si>
  <si>
    <t>21' HashChain 설계 2</t>
  </si>
  <si>
    <t>ndn-cxx 라이브러리 수정 1</t>
  </si>
  <si>
    <t>ndn-cxx 라이브러리 수정 2</t>
  </si>
  <si>
    <t>ndn-cxx 라이브러리 수정 3</t>
  </si>
  <si>
    <t>ndn-cxx 라이브러리 수정 4</t>
  </si>
  <si>
    <t>ndn-cxx 라이브러리 수정 5</t>
  </si>
  <si>
    <t>DIFS 연동 모듈 수정 1</t>
  </si>
  <si>
    <t>DIFS 연동 모듈 수정 2</t>
  </si>
  <si>
    <t>1.1.2.3</t>
  </si>
  <si>
    <t>1.1.2.4</t>
  </si>
  <si>
    <t>1.1.2.5</t>
  </si>
  <si>
    <t>유닛 테스트 및 디버깅 1</t>
  </si>
  <si>
    <t>유닛 테스트 및 디버깅 2</t>
  </si>
  <si>
    <t>1.1.3.2</t>
  </si>
  <si>
    <t>선행 연구 분석 1</t>
  </si>
  <si>
    <t>선행 연구 분석 2</t>
  </si>
  <si>
    <t>선행 연구 분석 3</t>
  </si>
  <si>
    <t>선행 연구 분석 4</t>
  </si>
  <si>
    <t>필수 기능 정의 1</t>
  </si>
  <si>
    <t>필수 기능 정의 2</t>
  </si>
  <si>
    <t>동적 노드 구성 설계 1</t>
  </si>
  <si>
    <t>동적 노드 구성 설계 2</t>
  </si>
  <si>
    <t>managed DHT 구현 1</t>
  </si>
  <si>
    <t>managed DHT 구현 2</t>
  </si>
  <si>
    <t>managed DHT 구현 3</t>
  </si>
  <si>
    <t>managed DHT 구현 4</t>
  </si>
  <si>
    <t>managed DHT 구현 5</t>
  </si>
  <si>
    <t>managed DHT 구현 6</t>
  </si>
  <si>
    <t>managed DHT 구현 7</t>
  </si>
  <si>
    <t>managed DHT 구현 8</t>
  </si>
  <si>
    <t>managed DHT 구현 9</t>
  </si>
  <si>
    <t>managed DHT 구현 10</t>
  </si>
  <si>
    <t>managed DHT 구현 11</t>
  </si>
  <si>
    <t>유닛 테스트 및 디버깅 3</t>
  </si>
  <si>
    <t>유닛 테스트 및 디버깅 4</t>
  </si>
  <si>
    <t>유닛 테스트 및 디버깅 5</t>
  </si>
  <si>
    <t>연동 테스트 1</t>
  </si>
  <si>
    <t>연동 테스트 2</t>
  </si>
  <si>
    <t>코드 안정화 1</t>
  </si>
  <si>
    <t>코드 안정화 2</t>
  </si>
  <si>
    <t>코드 안정화 3</t>
  </si>
  <si>
    <t>필수 기능 정의 3</t>
  </si>
  <si>
    <t>필수 기능 정의 4</t>
  </si>
  <si>
    <t>KeyValue Store 기능 설계 1</t>
  </si>
  <si>
    <t>command 체계 일원화 설계 1</t>
  </si>
  <si>
    <t>모니터링 인터페이스 설계 1</t>
  </si>
  <si>
    <t>KeyValue Store 기능 설계 2</t>
  </si>
  <si>
    <t>command 체계 일원화 설계 2</t>
  </si>
  <si>
    <t>모니터링 인터페이스 설계 2</t>
  </si>
  <si>
    <t>nosql 적용 구현 1</t>
  </si>
  <si>
    <t>nosql 적용 구현 2</t>
  </si>
  <si>
    <t>nosql 적용 구현 3</t>
  </si>
  <si>
    <t>nosql 적용 구현 4</t>
  </si>
  <si>
    <t>nosql 적용 구현 5</t>
  </si>
  <si>
    <t>nosql 적용 구현 6</t>
  </si>
  <si>
    <t>nosql 적용 구현 7</t>
  </si>
  <si>
    <t>ForwardingHint 적용 구현 1</t>
  </si>
  <si>
    <t>command 체계 일원화 구현 1</t>
  </si>
  <si>
    <t>모니터링 인터페이스 구현 1</t>
  </si>
  <si>
    <t>ForwardingHint 적용 구현 2</t>
  </si>
  <si>
    <t>ForwardingHint 적용 구현 3</t>
  </si>
  <si>
    <t>ForwardingHint 적용 구현 4</t>
  </si>
  <si>
    <t>ForwardingHint 적용 구현 5</t>
  </si>
  <si>
    <t>ForwardingHint 적용 구현 6</t>
  </si>
  <si>
    <t>ForwardingHint 적용 구현 7</t>
  </si>
  <si>
    <t>command 체계 일원화 구현 2</t>
  </si>
  <si>
    <t>command 체계 일원화 구현 3</t>
  </si>
  <si>
    <t>command 체계 일원화 구현 4</t>
  </si>
  <si>
    <t>command 체계 일원화 구현 5</t>
  </si>
  <si>
    <t>command 체계 일원화 구현 6</t>
  </si>
  <si>
    <t>command 체계 일원화 구현 7</t>
  </si>
  <si>
    <t>모니터링 인터페이스 구현 2</t>
  </si>
  <si>
    <t>연동 테스트 3</t>
  </si>
  <si>
    <t>연동 테스트 4</t>
  </si>
  <si>
    <t>연동 테스트 5</t>
  </si>
  <si>
    <t>연동 테스트 6</t>
  </si>
  <si>
    <t>연동 테스트 7</t>
  </si>
  <si>
    <t>코드 안정화 4</t>
  </si>
  <si>
    <t>user tools 기능 설계 1</t>
  </si>
  <si>
    <t>user tools 기능 설계 2</t>
  </si>
  <si>
    <t>user lib 구성 1</t>
  </si>
  <si>
    <t>user lib 구성 2</t>
  </si>
  <si>
    <t>user lib 구성 3</t>
  </si>
  <si>
    <t>user lib 연동 테스트 1</t>
  </si>
  <si>
    <t>user lib 연동 테스트 2</t>
  </si>
  <si>
    <t>DIFS 2020 프로파일링 결과 분석 1</t>
  </si>
  <si>
    <t>DIFS 2020 프로파일링 결과 분석 2</t>
  </si>
  <si>
    <t>DIFS 2020 프로파일링 결과 분석 3</t>
  </si>
  <si>
    <t>DIFS 2020 프로파일링 결과 분석 4</t>
  </si>
  <si>
    <t>DIFS 2020 코드 최적화 1</t>
  </si>
  <si>
    <t>DIFS 2020 코드 최적화 2</t>
  </si>
  <si>
    <t>2021
W2</t>
  </si>
  <si>
    <t>01/31
W6</t>
  </si>
  <si>
    <t>02/28
W10</t>
  </si>
  <si>
    <t>03/28
W14</t>
  </si>
  <si>
    <t>04/25
W18</t>
  </si>
  <si>
    <t>05/23
W22</t>
  </si>
  <si>
    <t>06/20
W26</t>
  </si>
  <si>
    <t>07/18
W30</t>
  </si>
  <si>
    <t>08/15
W34</t>
  </si>
  <si>
    <t>09/12
W38</t>
  </si>
  <si>
    <t>10/10
W42</t>
  </si>
  <si>
    <t>11/07
W46</t>
  </si>
  <si>
    <t>12/05
W50</t>
  </si>
  <si>
    <t>ForwardingHint 결과분석 1</t>
  </si>
  <si>
    <t>ForwardingHint 결과분석 2</t>
  </si>
  <si>
    <t>ForwardingHint 코드 최적화 1</t>
  </si>
  <si>
    <t>ForwardingHint 코드 최적화 2</t>
  </si>
  <si>
    <t>ForwardingHint 코드 최적화 3</t>
  </si>
  <si>
    <t>KeyValue Store 결과분석 1</t>
  </si>
  <si>
    <t>KeyValue Store 결과분석 2</t>
  </si>
  <si>
    <t>KeyValue Store 코드 최적화 1</t>
  </si>
  <si>
    <t>KeyValue Store 코드 최적화 2</t>
  </si>
  <si>
    <t>KeyValue Store 코드 최적화 3</t>
  </si>
  <si>
    <t>user tool 결과분석 1</t>
  </si>
  <si>
    <t>user tool 결과분석 2</t>
  </si>
  <si>
    <t>user tool 코드 최적화 1</t>
  </si>
  <si>
    <t>user tool 코드 최적화 2</t>
  </si>
  <si>
    <t>user tool 코드 최적화 3</t>
  </si>
  <si>
    <t>동적 노드 구성 결과 분석 1</t>
  </si>
  <si>
    <t>동적 노드 구성 결과 분석 2</t>
  </si>
  <si>
    <t>동적 노드 구성 코드 최적화 1</t>
  </si>
  <si>
    <t>동적 노드 구성 코드 최적화 2</t>
  </si>
  <si>
    <t>DIFS 2020 set 구성 1</t>
  </si>
  <si>
    <t>DIFS 2020 적용 1</t>
  </si>
  <si>
    <t>DIFS 2020 set 구성 2</t>
  </si>
  <si>
    <t>DIFS 2020 적용 2</t>
  </si>
  <si>
    <t>DIFS 2021 set 구성 1</t>
  </si>
  <si>
    <t>DIFS 2021 set 구성 2</t>
  </si>
  <si>
    <t>DIFS 2021 적용 1</t>
  </si>
  <si>
    <t>DIFS 2021 적용 2</t>
  </si>
  <si>
    <t>ACM-ICN 2021 (full paper) 1</t>
  </si>
  <si>
    <t>ACM-ICN 2021 (full paper) 2</t>
  </si>
  <si>
    <t>ACM-ICN 2021 (full paper) 3</t>
  </si>
  <si>
    <t>ACM-ICN 2021 (full paper) 4</t>
  </si>
  <si>
    <t>ICACT 2021 1</t>
  </si>
  <si>
    <t>ICACT 2021 2</t>
  </si>
  <si>
    <t>ICACT 2021 3</t>
  </si>
  <si>
    <t>ICACT 2021 4</t>
  </si>
  <si>
    <t>DHT 기반 동적 NDN 노드 구성 방법 (국제) 1</t>
  </si>
  <si>
    <t>DHT 기반 동적 NDN 노드 구성 방법 (국제) 2</t>
  </si>
  <si>
    <t>MerkleTree 기반 효율적 Signature 관리 기법 및 장치 (국제) 1</t>
  </si>
  <si>
    <t>MerkleTree 기반 효율적 Signature 관리 기법 및 장치 (국제) 2</t>
  </si>
  <si>
    <t>DHT 기반 동적 NDN 노드 구성 방법 (국제) 3</t>
  </si>
  <si>
    <t>DHT 기반 동적 NDN 노드 구성 방법 (국제) 4</t>
  </si>
  <si>
    <t>MerkleTree 기반 효율적 Signature 관리 기법 및 장치 (국제) 3</t>
  </si>
  <si>
    <t>MerkleTree 기반 효율적 Signature 관리 기법 및 장치 (국제) 4</t>
  </si>
  <si>
    <t>DIFS</t>
  </si>
  <si>
    <t>1.1.1.1.1</t>
  </si>
  <si>
    <t>1.1.1.1.2</t>
  </si>
  <si>
    <t>1.1.1.1.3</t>
  </si>
  <si>
    <t>1.1.1.1.4</t>
  </si>
  <si>
    <t>1.1.1.2.1</t>
  </si>
  <si>
    <t>1.1.1.2.2</t>
  </si>
  <si>
    <t>1.1.1.2.3</t>
  </si>
  <si>
    <t>1.1.1.2.4</t>
  </si>
  <si>
    <t>1.1.1.2.5</t>
  </si>
  <si>
    <t>1.1.1.2.6</t>
  </si>
  <si>
    <t>1.1.1.2.7</t>
  </si>
  <si>
    <t>1.1.1.3.1</t>
  </si>
  <si>
    <t>1.1.1.3.2</t>
  </si>
  <si>
    <t>1.1.2.1.1</t>
  </si>
  <si>
    <t>1.1.2.1.2</t>
  </si>
  <si>
    <t>1.1.2.1.3</t>
  </si>
  <si>
    <t>1.1.2.1.4</t>
  </si>
  <si>
    <t>1.1.2.2.1</t>
  </si>
  <si>
    <t>1.1.2.2.2</t>
  </si>
  <si>
    <t>1.1.2.2.3</t>
  </si>
  <si>
    <t>1.1.2.2.4</t>
  </si>
  <si>
    <t>1.1.2.3.1</t>
  </si>
  <si>
    <t>1.1.2.3.2</t>
  </si>
  <si>
    <t>1.1.2.3.3</t>
  </si>
  <si>
    <t>1.1.2.3.4</t>
  </si>
  <si>
    <t>1.1.2.3.5</t>
  </si>
  <si>
    <t>1.1.2.3.6</t>
  </si>
  <si>
    <t>1.1.2.3.7</t>
  </si>
  <si>
    <t>1.1.2.3.8</t>
  </si>
  <si>
    <t>1.1.2.3.9</t>
  </si>
  <si>
    <t>1.1.2.3.10</t>
  </si>
  <si>
    <t>1.1.2.3.11</t>
  </si>
  <si>
    <t>1.1.2.4.1</t>
  </si>
  <si>
    <t>1.1.2.4.2</t>
  </si>
  <si>
    <t>1.1.2.4.3</t>
  </si>
  <si>
    <t>1.1.2.4.4</t>
  </si>
  <si>
    <t>1.1.2.4.5</t>
  </si>
  <si>
    <t>1.1.2.5.1</t>
  </si>
  <si>
    <t>1.1.2.5.2</t>
  </si>
  <si>
    <t>1.1.2.5.3</t>
  </si>
  <si>
    <t>1.1.2.5.4</t>
  </si>
  <si>
    <t>1.1.3.1.1</t>
  </si>
  <si>
    <t>1.1.3.1.2</t>
  </si>
  <si>
    <t>1.1.3.1.3</t>
  </si>
  <si>
    <t>1.1.3.1.4</t>
  </si>
  <si>
    <t>1.1.3.1.5</t>
  </si>
  <si>
    <t>1.1.3.1.6</t>
  </si>
  <si>
    <t>1.1.3.1.7</t>
  </si>
  <si>
    <t>1.1.3.1.8</t>
  </si>
  <si>
    <t>1.1.3.1.9</t>
  </si>
  <si>
    <t>1.1.3.1.10</t>
  </si>
  <si>
    <t>1.1.3.2.1</t>
  </si>
  <si>
    <t>1.1.3.2.2</t>
  </si>
  <si>
    <t>1.1.3.2.3</t>
  </si>
  <si>
    <t>1.1.3.2.4</t>
  </si>
  <si>
    <t>1.1.3.2.5</t>
  </si>
  <si>
    <t>1.1.3.2.6</t>
  </si>
  <si>
    <t>1.1.3.2.7</t>
  </si>
  <si>
    <t>1.1.3.2.8</t>
  </si>
  <si>
    <t>1.1.3.2.9</t>
  </si>
  <si>
    <t>1.1.3.2.10</t>
  </si>
  <si>
    <t>1.1.3.2.11</t>
  </si>
  <si>
    <t>1.1.3.2.12</t>
  </si>
  <si>
    <t>1.1.3.2.13</t>
  </si>
  <si>
    <t>1.1.3.2.14</t>
  </si>
  <si>
    <t>1.1.3.2.15</t>
  </si>
  <si>
    <t>1.1.3.2.16</t>
  </si>
  <si>
    <t>1.1.3.2.17</t>
  </si>
  <si>
    <t>1.1.3.2.18</t>
  </si>
  <si>
    <t>1.1.3.2.19</t>
  </si>
  <si>
    <t>1.1.3.2.20</t>
  </si>
  <si>
    <t>1.1.3.2.21</t>
  </si>
  <si>
    <t>1.1.3.2.22</t>
  </si>
  <si>
    <t>1.1.3.2.23</t>
  </si>
  <si>
    <t>1.1.3.3</t>
  </si>
  <si>
    <t>1.1.3.3.1</t>
  </si>
  <si>
    <t>1.1.3.3.2</t>
  </si>
  <si>
    <t>1.1.3.4</t>
  </si>
  <si>
    <t>1.1.3.4.1</t>
  </si>
  <si>
    <t>1.1.3.4.2</t>
  </si>
  <si>
    <t>1.1.3.4.3</t>
  </si>
  <si>
    <t>1.1.3.4.4</t>
  </si>
  <si>
    <t>1.1.3.4.5</t>
  </si>
  <si>
    <t>1.1.3.4.6</t>
  </si>
  <si>
    <t>1.1.3.4.7</t>
  </si>
  <si>
    <t>1.1.3.4.8</t>
  </si>
  <si>
    <t>1.1.3.4.9</t>
  </si>
  <si>
    <t>1.1.3.4.10</t>
  </si>
  <si>
    <t>1.1.3.4.11</t>
  </si>
  <si>
    <t>1.1.4</t>
  </si>
  <si>
    <t>1.1.4.1.1</t>
  </si>
  <si>
    <t>1.1.4.1.2</t>
  </si>
  <si>
    <t>1.1.4.2</t>
  </si>
  <si>
    <t>1.1.4.2.1</t>
  </si>
  <si>
    <t>1.1.4.2.2</t>
  </si>
  <si>
    <t>1.1.4.2.3</t>
  </si>
  <si>
    <t>1.1.4.3</t>
  </si>
  <si>
    <t>1.1.4.3.1</t>
  </si>
  <si>
    <t>1.1.4.3.2</t>
  </si>
  <si>
    <t>1.2.1.1.1</t>
  </si>
  <si>
    <t>1.2.1.1.2</t>
  </si>
  <si>
    <t>1.2.1.1.3</t>
  </si>
  <si>
    <t>1.2.1.1.4</t>
  </si>
  <si>
    <t>1.2.1.1.5</t>
  </si>
  <si>
    <t>1.2.1.1.6</t>
  </si>
  <si>
    <t>1.2.1.2.1</t>
  </si>
  <si>
    <t>1.2.1.2.2</t>
  </si>
  <si>
    <t>1.2.1.2.3</t>
  </si>
  <si>
    <t>1.2.1.2.4</t>
  </si>
  <si>
    <t>1.2.1.2.5</t>
  </si>
  <si>
    <t>1.2.1.2.6</t>
  </si>
  <si>
    <t>1.2.1.2.7</t>
  </si>
  <si>
    <t>1.2.1.2.8</t>
  </si>
  <si>
    <t>1.2.1.2.9</t>
  </si>
  <si>
    <t>1.2.1.2.10</t>
  </si>
  <si>
    <t>1.2.1.2.11</t>
  </si>
  <si>
    <t>1.2.1.2.12</t>
  </si>
  <si>
    <t>1.2.1.2.13</t>
  </si>
  <si>
    <t>1.2.1.2.14</t>
  </si>
  <si>
    <t>1.2.1.2.15</t>
  </si>
  <si>
    <t>1.2.1.2.16</t>
  </si>
  <si>
    <t>1.2.1.2.17</t>
  </si>
  <si>
    <t>1.2.1.2.18</t>
  </si>
  <si>
    <t>1.2.1.2.19</t>
  </si>
  <si>
    <t>1.3.1.1.1</t>
  </si>
  <si>
    <t>1.3.1.1.2</t>
  </si>
  <si>
    <t>1.3.1.2.1</t>
  </si>
  <si>
    <t>1.3.1.2.2</t>
  </si>
  <si>
    <t>1.3.2.1.1</t>
  </si>
  <si>
    <t>1.3.2.1.2</t>
  </si>
  <si>
    <t>1.3.2.2.1</t>
  </si>
  <si>
    <t>1.3.2.2.2</t>
  </si>
  <si>
    <t>1.4.1.1.1</t>
  </si>
  <si>
    <t>1.4.1.1.2</t>
  </si>
  <si>
    <t>1.4.1.1.3</t>
  </si>
  <si>
    <t>1.4.1.1.4</t>
  </si>
  <si>
    <t>1.4.1.1.5</t>
  </si>
  <si>
    <t>1.4.1.1.6</t>
  </si>
  <si>
    <t>1.4.1.1.7</t>
  </si>
  <si>
    <t>1.4.1.1.8</t>
  </si>
  <si>
    <t>1.4.2.1.1</t>
  </si>
  <si>
    <t>1.4.2.1.2</t>
  </si>
  <si>
    <t>1.4.2.1.3</t>
  </si>
  <si>
    <t>1.4.2.1.4</t>
  </si>
  <si>
    <t>1.4.2.1.5</t>
  </si>
  <si>
    <t>1.4.2.1.6</t>
  </si>
  <si>
    <t>1.4.2.1.7</t>
  </si>
  <si>
    <t>1.4.2.1.8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</si>
</sst>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1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3" fontId="10" fillId="0" borderId="0" xfId="4" applyNumberFormat="1" applyFont="1" applyFill="1" applyAlignment="1">
      <alignment vertical="top"/>
    </xf>
    <xf numFmtId="0" fontId="9" fillId="0" borderId="0" xfId="4" applyFont="1" applyBorder="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1"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9" fillId="0" borderId="0" xfId="4" applyNumberFormat="1" applyFont="1" applyBorder="1"/>
    <xf numFmtId="0" fontId="37" fillId="7" borderId="26" xfId="4" quotePrefix="1" applyFont="1" applyFill="1" applyBorder="1" applyAlignment="1" applyProtection="1">
      <alignment horizontal="right" vertical="top"/>
      <protection locked="0"/>
    </xf>
    <xf numFmtId="0" fontId="37" fillId="7" borderId="26" xfId="4" applyFont="1" applyFill="1" applyBorder="1" applyAlignment="1" applyProtection="1">
      <alignment horizontal="left" vertical="top"/>
      <protection locked="0"/>
    </xf>
    <xf numFmtId="0" fontId="23" fillId="7" borderId="26" xfId="4" applyFont="1" applyFill="1" applyBorder="1" applyAlignment="1" applyProtection="1">
      <alignment horizontal="left" vertical="top"/>
      <protection locked="0"/>
    </xf>
    <xf numFmtId="14" fontId="23" fillId="7" borderId="26" xfId="4" applyNumberFormat="1" applyFont="1" applyFill="1" applyBorder="1" applyAlignment="1" applyProtection="1">
      <alignment horizontal="center" vertical="top"/>
      <protection locked="0"/>
    </xf>
    <xf numFmtId="0" fontId="23" fillId="7" borderId="26" xfId="4" applyNumberFormat="1" applyFont="1" applyFill="1" applyBorder="1" applyAlignment="1" applyProtection="1">
      <alignment horizontal="left" vertical="top"/>
      <protection locked="0"/>
    </xf>
    <xf numFmtId="178" fontId="23" fillId="7" borderId="26" xfId="4" applyNumberFormat="1" applyFont="1" applyFill="1" applyBorder="1" applyAlignment="1" applyProtection="1">
      <alignment horizontal="center" vertical="top"/>
      <protection locked="0"/>
    </xf>
    <xf numFmtId="177" fontId="23" fillId="7" borderId="26" xfId="4" applyNumberFormat="1" applyFont="1" applyFill="1" applyBorder="1" applyAlignment="1" applyProtection="1">
      <alignment horizontal="center" vertical="top"/>
      <protection locked="0"/>
    </xf>
    <xf numFmtId="1" fontId="23" fillId="7" borderId="26" xfId="4" applyNumberFormat="1" applyFont="1" applyFill="1" applyBorder="1" applyAlignment="1" applyProtection="1">
      <alignment horizontal="center" vertical="top"/>
      <protection locked="0"/>
    </xf>
    <xf numFmtId="14" fontId="23" fillId="7" borderId="26" xfId="4" applyNumberFormat="1" applyFont="1" applyFill="1" applyBorder="1" applyAlignment="1" applyProtection="1">
      <alignment horizontal="left" vertical="top"/>
      <protection locked="0"/>
    </xf>
    <xf numFmtId="10" fontId="23" fillId="7" borderId="26" xfId="6" applyNumberFormat="1" applyFont="1" applyFill="1" applyBorder="1" applyAlignment="1" applyProtection="1">
      <alignment horizontal="right" vertical="top" wrapText="1"/>
      <protection locked="0"/>
    </xf>
    <xf numFmtId="0" fontId="37" fillId="7" borderId="26" xfId="4" applyNumberFormat="1" applyFont="1" applyFill="1" applyBorder="1" applyAlignment="1" applyProtection="1">
      <alignment horizontal="left" vertical="top"/>
      <protection locked="0"/>
    </xf>
    <xf numFmtId="14" fontId="37" fillId="7" borderId="26" xfId="4" applyNumberFormat="1" applyFont="1" applyFill="1" applyBorder="1" applyAlignment="1" applyProtection="1">
      <alignment horizontal="center" vertical="top"/>
      <protection locked="0"/>
    </xf>
    <xf numFmtId="178" fontId="37" fillId="7" borderId="26" xfId="4" applyNumberFormat="1" applyFont="1" applyFill="1" applyBorder="1" applyAlignment="1" applyProtection="1">
      <alignment horizontal="center" vertical="top"/>
      <protection locked="0"/>
    </xf>
    <xf numFmtId="177" fontId="37" fillId="7" borderId="26" xfId="4" applyNumberFormat="1" applyFont="1" applyFill="1" applyBorder="1" applyAlignment="1" applyProtection="1">
      <alignment horizontal="center" vertical="top"/>
      <protection locked="0"/>
    </xf>
    <xf numFmtId="1" fontId="37" fillId="7" borderId="26" xfId="4" applyNumberFormat="1" applyFont="1" applyFill="1" applyBorder="1" applyAlignment="1" applyProtection="1">
      <alignment horizontal="center" vertical="top"/>
      <protection locked="0"/>
    </xf>
    <xf numFmtId="14" fontId="37" fillId="7" borderId="26" xfId="4" applyNumberFormat="1" applyFont="1" applyFill="1" applyBorder="1" applyAlignment="1" applyProtection="1">
      <alignment horizontal="left" vertical="top"/>
      <protection locked="0"/>
    </xf>
    <xf numFmtId="10" fontId="37" fillId="7" borderId="26" xfId="6" applyNumberFormat="1" applyFont="1" applyFill="1" applyBorder="1" applyAlignment="1" applyProtection="1">
      <alignment horizontal="right" vertical="top" wrapText="1"/>
      <protection locked="0"/>
    </xf>
    <xf numFmtId="0" fontId="23" fillId="3" borderId="26" xfId="4" applyFont="1" applyFill="1" applyBorder="1" applyAlignment="1" applyProtection="1">
      <alignment horizontal="left" vertical="top"/>
      <protection locked="0"/>
    </xf>
    <xf numFmtId="14" fontId="23" fillId="3" borderId="26" xfId="4" applyNumberFormat="1" applyFont="1" applyFill="1" applyBorder="1" applyAlignment="1" applyProtection="1">
      <alignment horizontal="center" vertical="top"/>
      <protection locked="0"/>
    </xf>
    <xf numFmtId="0" fontId="23" fillId="3" borderId="26" xfId="4" applyNumberFormat="1" applyFont="1" applyFill="1" applyBorder="1" applyAlignment="1" applyProtection="1">
      <alignment horizontal="left" vertical="top"/>
      <protection locked="0"/>
    </xf>
    <xf numFmtId="178" fontId="23" fillId="3" borderId="26" xfId="4" applyNumberFormat="1" applyFont="1" applyFill="1" applyBorder="1" applyAlignment="1" applyProtection="1">
      <alignment horizontal="center" vertical="top"/>
      <protection locked="0"/>
    </xf>
    <xf numFmtId="177" fontId="23" fillId="3" borderId="26" xfId="4" applyNumberFormat="1" applyFont="1" applyFill="1" applyBorder="1" applyAlignment="1" applyProtection="1">
      <alignment horizontal="center" vertical="top"/>
      <protection locked="0"/>
    </xf>
    <xf numFmtId="1" fontId="23" fillId="3" borderId="26" xfId="4" applyNumberFormat="1" applyFont="1" applyFill="1" applyBorder="1" applyAlignment="1" applyProtection="1">
      <alignment horizontal="center" vertical="top"/>
      <protection locked="0"/>
    </xf>
    <xf numFmtId="14" fontId="23" fillId="3" borderId="26" xfId="4" applyNumberFormat="1" applyFont="1" applyFill="1" applyBorder="1" applyAlignment="1" applyProtection="1">
      <alignment horizontal="left" vertical="top"/>
      <protection locked="0"/>
    </xf>
    <xf numFmtId="10" fontId="23" fillId="3" borderId="26" xfId="6" applyNumberFormat="1" applyFont="1" applyFill="1" applyBorder="1" applyAlignment="1" applyProtection="1">
      <alignment horizontal="right" vertical="top" wrapText="1"/>
      <protection locked="0"/>
    </xf>
    <xf numFmtId="0" fontId="23" fillId="3" borderId="26" xfId="4" quotePrefix="1" applyFont="1" applyFill="1" applyBorder="1" applyAlignment="1" applyProtection="1">
      <alignment horizontal="right" vertical="top"/>
      <protection locked="0"/>
    </xf>
    <xf numFmtId="0" fontId="21" fillId="0" borderId="26" xfId="4" quotePrefix="1" applyFont="1" applyFill="1" applyBorder="1" applyAlignment="1" applyProtection="1">
      <alignment horizontal="right" vertical="top"/>
      <protection locked="0"/>
    </xf>
    <xf numFmtId="0" fontId="21" fillId="0" borderId="26" xfId="4" applyFont="1" applyFill="1" applyBorder="1" applyAlignment="1" applyProtection="1">
      <alignment horizontal="left" vertical="top"/>
      <protection locked="0"/>
    </xf>
    <xf numFmtId="14" fontId="21" fillId="0" borderId="26" xfId="4" applyNumberFormat="1" applyFont="1" applyFill="1" applyBorder="1" applyAlignment="1" applyProtection="1">
      <alignment horizontal="center" vertical="top"/>
      <protection locked="0"/>
    </xf>
    <xf numFmtId="0" fontId="21" fillId="0" borderId="26" xfId="4" applyNumberFormat="1" applyFont="1" applyFill="1" applyBorder="1" applyAlignment="1" applyProtection="1">
      <alignment horizontal="left" vertical="top"/>
      <protection locked="0"/>
    </xf>
    <xf numFmtId="178" fontId="21" fillId="0" borderId="26" xfId="4" applyNumberFormat="1" applyFont="1" applyFill="1" applyBorder="1" applyAlignment="1" applyProtection="1">
      <alignment horizontal="center" vertical="top"/>
      <protection locked="0"/>
    </xf>
    <xf numFmtId="177" fontId="21" fillId="0" borderId="26" xfId="4" applyNumberFormat="1" applyFont="1" applyFill="1" applyBorder="1" applyAlignment="1" applyProtection="1">
      <alignment horizontal="center" vertical="top"/>
      <protection locked="0"/>
    </xf>
    <xf numFmtId="1" fontId="21" fillId="0" borderId="26" xfId="4" applyNumberFormat="1" applyFont="1" applyFill="1" applyBorder="1" applyAlignment="1" applyProtection="1">
      <alignment horizontal="center" vertical="top"/>
      <protection locked="0"/>
    </xf>
    <xf numFmtId="14" fontId="21" fillId="0" borderId="26" xfId="4" applyNumberFormat="1" applyFont="1" applyFill="1" applyBorder="1" applyAlignment="1" applyProtection="1">
      <alignment horizontal="left" vertical="top"/>
      <protection locked="0"/>
    </xf>
    <xf numFmtId="10" fontId="21" fillId="0" borderId="26" xfId="6" applyNumberFormat="1" applyFont="1" applyFill="1" applyBorder="1" applyAlignment="1" applyProtection="1">
      <alignment horizontal="right" vertical="top" wrapText="1"/>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180" fontId="39" fillId="19" borderId="21" xfId="4" applyNumberFormat="1" applyFont="1" applyFill="1" applyBorder="1" applyAlignment="1" applyProtection="1">
      <alignment horizontal="center" vertical="center"/>
    </xf>
    <xf numFmtId="0" fontId="38" fillId="17" borderId="0" xfId="1" applyFont="1" applyFill="1" applyBorder="1" applyAlignment="1">
      <alignment horizontal="left" vertical="center"/>
    </xf>
    <xf numFmtId="0" fontId="34" fillId="21" borderId="27" xfId="0" applyFont="1" applyFill="1" applyBorder="1" applyAlignment="1">
      <alignment horizontal="center"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1" borderId="28" xfId="2" applyFont="1" applyFill="1" applyBorder="1" applyAlignment="1">
      <alignment horizontal="right"/>
    </xf>
    <xf numFmtId="0" fontId="0" fillId="21"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51" fillId="21" borderId="30" xfId="2" applyFont="1" applyFill="1" applyBorder="1" applyAlignment="1">
      <alignment vertical="center"/>
    </xf>
    <xf numFmtId="0" fontId="0" fillId="21" borderId="30" xfId="0" applyFill="1" applyBorder="1" applyAlignment="1">
      <alignmen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8" fillId="17" borderId="0" xfId="1" applyFont="1" applyFill="1" applyBorder="1" applyAlignment="1">
      <alignment horizontal="left"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46"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184</xdr:row>
      <xdr:rowOff>0</xdr:rowOff>
    </xdr:to>
    <xdr:cxnSp macro="">
      <xdr:nvCxnSpPr>
        <xdr:cNvPr id="2" name="직선 화살표 연결선 1">
          <a:extLst>
            <a:ext uri="{FF2B5EF4-FFF2-40B4-BE49-F238E27FC236}">
              <a16:creationId xmlns:a16="http://schemas.microsoft.com/office/drawing/2014/main" id="{9EAAF944-95E8-402D-A4EB-44F7F86C02D8}"/>
            </a:ext>
          </a:extLst>
        </xdr:cNvPr>
        <xdr:cNvCxnSpPr/>
      </xdr:nvCxnSpPr>
      <xdr:spPr>
        <a:xfrm>
          <a:off x="21821775" y="752348"/>
          <a:ext cx="0" cy="27432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184</xdr:row>
      <xdr:rowOff>0</xdr:rowOff>
    </xdr:to>
    <xdr:cxnSp macro="">
      <xdr:nvCxnSpPr>
        <xdr:cNvPr id="3" name="직선 화살표 연결선 2">
          <a:extLst>
            <a:ext uri="{FF2B5EF4-FFF2-40B4-BE49-F238E27FC236}">
              <a16:creationId xmlns:a16="http://schemas.microsoft.com/office/drawing/2014/main" id="{E780DBF8-8F57-45BC-81F6-048424BB2B62}"/>
            </a:ext>
          </a:extLst>
        </xdr:cNvPr>
        <xdr:cNvCxnSpPr/>
      </xdr:nvCxnSpPr>
      <xdr:spPr>
        <a:xfrm>
          <a:off x="34013775" y="752348"/>
          <a:ext cx="0" cy="27432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184</xdr:row>
      <xdr:rowOff>0</xdr:rowOff>
    </xdr:to>
    <xdr:cxnSp macro="">
      <xdr:nvCxnSpPr>
        <xdr:cNvPr id="4" name="직선 화살표 연결선 3">
          <a:extLst>
            <a:ext uri="{FF2B5EF4-FFF2-40B4-BE49-F238E27FC236}">
              <a16:creationId xmlns:a16="http://schemas.microsoft.com/office/drawing/2014/main" id="{E892DF1F-4D04-4EDE-B366-5A6094E04F28}"/>
            </a:ext>
          </a:extLst>
        </xdr:cNvPr>
        <xdr:cNvCxnSpPr/>
      </xdr:nvCxnSpPr>
      <xdr:spPr>
        <a:xfrm>
          <a:off x="46205775" y="752348"/>
          <a:ext cx="0" cy="27432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3</xdr:row>
      <xdr:rowOff>76073</xdr:rowOff>
    </xdr:from>
    <xdr:to>
      <xdr:col>36</xdr:col>
      <xdr:colOff>40822</xdr:colOff>
      <xdr:row>184</xdr:row>
      <xdr:rowOff>0</xdr:rowOff>
    </xdr:to>
    <xdr:cxnSp macro="">
      <xdr:nvCxnSpPr>
        <xdr:cNvPr id="5" name="직선 화살표 연결선 4">
          <a:extLst>
            <a:ext uri="{FF2B5EF4-FFF2-40B4-BE49-F238E27FC236}">
              <a16:creationId xmlns:a16="http://schemas.microsoft.com/office/drawing/2014/main" id="{FAD5366A-5B7B-4FEF-A932-B199E7CE0E63}"/>
            </a:ext>
          </a:extLst>
        </xdr:cNvPr>
        <xdr:cNvCxnSpPr/>
      </xdr:nvCxnSpPr>
      <xdr:spPr>
        <a:xfrm>
          <a:off x="10384972" y="752348"/>
          <a:ext cx="0" cy="27432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183</xdr:row>
      <xdr:rowOff>19050</xdr:rowOff>
    </xdr:from>
    <xdr:to>
      <xdr:col>60</xdr:col>
      <xdr:colOff>123734</xdr:colOff>
      <xdr:row>183</xdr:row>
      <xdr:rowOff>133350</xdr:rowOff>
    </xdr:to>
    <xdr:sp macro="" textlink="">
      <xdr:nvSpPr>
        <xdr:cNvPr id="6" name="180">
          <a:extLst>
            <a:ext uri="{FF2B5EF4-FFF2-40B4-BE49-F238E27FC236}">
              <a16:creationId xmlns:a16="http://schemas.microsoft.com/office/drawing/2014/main" id="{9C48F7B5-2942-40AC-A66F-2EAE93A4B8D2}"/>
            </a:ext>
          </a:extLst>
        </xdr:cNvPr>
        <xdr:cNvSpPr/>
      </xdr:nvSpPr>
      <xdr:spPr>
        <a:xfrm>
          <a:off x="13650686" y="28051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183</xdr:row>
      <xdr:rowOff>76200</xdr:rowOff>
    </xdr:from>
    <xdr:to>
      <xdr:col>59</xdr:col>
      <xdr:colOff>20411</xdr:colOff>
      <xdr:row>183</xdr:row>
      <xdr:rowOff>76200</xdr:rowOff>
    </xdr:to>
    <xdr:cxnSp macro="">
      <xdr:nvCxnSpPr>
        <xdr:cNvPr id="7" name="직선 화살표 연결선 6">
          <a:extLst>
            <a:ext uri="{FF2B5EF4-FFF2-40B4-BE49-F238E27FC236}">
              <a16:creationId xmlns:a16="http://schemas.microsoft.com/office/drawing/2014/main" id="{237E2143-C91A-458D-8D5E-FA0DF3883681}"/>
            </a:ext>
          </a:extLst>
        </xdr:cNvPr>
        <xdr:cNvCxnSpPr/>
      </xdr:nvCxnSpPr>
      <xdr:spPr>
        <a:xfrm>
          <a:off x="13650686" y="2810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182</xdr:row>
      <xdr:rowOff>19050</xdr:rowOff>
    </xdr:from>
    <xdr:to>
      <xdr:col>58</xdr:col>
      <xdr:colOff>123734</xdr:colOff>
      <xdr:row>182</xdr:row>
      <xdr:rowOff>133350</xdr:rowOff>
    </xdr:to>
    <xdr:sp macro="" textlink="">
      <xdr:nvSpPr>
        <xdr:cNvPr id="8" name="179">
          <a:extLst>
            <a:ext uri="{FF2B5EF4-FFF2-40B4-BE49-F238E27FC236}">
              <a16:creationId xmlns:a16="http://schemas.microsoft.com/office/drawing/2014/main" id="{B476424E-6305-4FDC-8EC9-226E3988EF4E}"/>
            </a:ext>
          </a:extLst>
        </xdr:cNvPr>
        <xdr:cNvSpPr/>
      </xdr:nvSpPr>
      <xdr:spPr>
        <a:xfrm>
          <a:off x="13364936" y="27898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182</xdr:row>
      <xdr:rowOff>76200</xdr:rowOff>
    </xdr:from>
    <xdr:to>
      <xdr:col>57</xdr:col>
      <xdr:colOff>20411</xdr:colOff>
      <xdr:row>182</xdr:row>
      <xdr:rowOff>76200</xdr:rowOff>
    </xdr:to>
    <xdr:cxnSp macro="">
      <xdr:nvCxnSpPr>
        <xdr:cNvPr id="9" name="직선 화살표 연결선 8">
          <a:extLst>
            <a:ext uri="{FF2B5EF4-FFF2-40B4-BE49-F238E27FC236}">
              <a16:creationId xmlns:a16="http://schemas.microsoft.com/office/drawing/2014/main" id="{223113EB-191C-4459-B400-D0F2917C70F7}"/>
            </a:ext>
          </a:extLst>
        </xdr:cNvPr>
        <xdr:cNvCxnSpPr/>
      </xdr:nvCxnSpPr>
      <xdr:spPr>
        <a:xfrm>
          <a:off x="13364936" y="2795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181</xdr:row>
      <xdr:rowOff>19050</xdr:rowOff>
    </xdr:from>
    <xdr:to>
      <xdr:col>56</xdr:col>
      <xdr:colOff>123734</xdr:colOff>
      <xdr:row>181</xdr:row>
      <xdr:rowOff>133350</xdr:rowOff>
    </xdr:to>
    <xdr:sp macro="" textlink="">
      <xdr:nvSpPr>
        <xdr:cNvPr id="10" name="178">
          <a:extLst>
            <a:ext uri="{FF2B5EF4-FFF2-40B4-BE49-F238E27FC236}">
              <a16:creationId xmlns:a16="http://schemas.microsoft.com/office/drawing/2014/main" id="{0228A1D7-CEA6-4ED9-AE3E-00CFC67C6516}"/>
            </a:ext>
          </a:extLst>
        </xdr:cNvPr>
        <xdr:cNvSpPr/>
      </xdr:nvSpPr>
      <xdr:spPr>
        <a:xfrm>
          <a:off x="13079186" y="27746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181</xdr:row>
      <xdr:rowOff>76200</xdr:rowOff>
    </xdr:from>
    <xdr:to>
      <xdr:col>55</xdr:col>
      <xdr:colOff>20411</xdr:colOff>
      <xdr:row>181</xdr:row>
      <xdr:rowOff>76200</xdr:rowOff>
    </xdr:to>
    <xdr:cxnSp macro="">
      <xdr:nvCxnSpPr>
        <xdr:cNvPr id="11" name="직선 화살표 연결선 10">
          <a:extLst>
            <a:ext uri="{FF2B5EF4-FFF2-40B4-BE49-F238E27FC236}">
              <a16:creationId xmlns:a16="http://schemas.microsoft.com/office/drawing/2014/main" id="{E7C8CA64-B4D6-4D45-8C6A-5FE248C27FDF}"/>
            </a:ext>
          </a:extLst>
        </xdr:cNvPr>
        <xdr:cNvCxnSpPr/>
      </xdr:nvCxnSpPr>
      <xdr:spPr>
        <a:xfrm>
          <a:off x="13079186" y="2780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180</xdr:row>
      <xdr:rowOff>19050</xdr:rowOff>
    </xdr:from>
    <xdr:to>
      <xdr:col>54</xdr:col>
      <xdr:colOff>123734</xdr:colOff>
      <xdr:row>180</xdr:row>
      <xdr:rowOff>133350</xdr:rowOff>
    </xdr:to>
    <xdr:sp macro="" textlink="">
      <xdr:nvSpPr>
        <xdr:cNvPr id="12" name="177">
          <a:extLst>
            <a:ext uri="{FF2B5EF4-FFF2-40B4-BE49-F238E27FC236}">
              <a16:creationId xmlns:a16="http://schemas.microsoft.com/office/drawing/2014/main" id="{0ED39DC8-0516-4B1D-A1DA-99BEDAD6807A}"/>
            </a:ext>
          </a:extLst>
        </xdr:cNvPr>
        <xdr:cNvSpPr/>
      </xdr:nvSpPr>
      <xdr:spPr>
        <a:xfrm>
          <a:off x="12793435" y="27593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180</xdr:row>
      <xdr:rowOff>76200</xdr:rowOff>
    </xdr:from>
    <xdr:to>
      <xdr:col>53</xdr:col>
      <xdr:colOff>20410</xdr:colOff>
      <xdr:row>180</xdr:row>
      <xdr:rowOff>76200</xdr:rowOff>
    </xdr:to>
    <xdr:cxnSp macro="">
      <xdr:nvCxnSpPr>
        <xdr:cNvPr id="13" name="직선 화살표 연결선 12">
          <a:extLst>
            <a:ext uri="{FF2B5EF4-FFF2-40B4-BE49-F238E27FC236}">
              <a16:creationId xmlns:a16="http://schemas.microsoft.com/office/drawing/2014/main" id="{AC1C33C8-DD32-43F6-957C-3239D357B2F2}"/>
            </a:ext>
          </a:extLst>
        </xdr:cNvPr>
        <xdr:cNvCxnSpPr/>
      </xdr:nvCxnSpPr>
      <xdr:spPr>
        <a:xfrm>
          <a:off x="12793435" y="2765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179</xdr:row>
      <xdr:rowOff>19050</xdr:rowOff>
    </xdr:from>
    <xdr:to>
      <xdr:col>60</xdr:col>
      <xdr:colOff>123734</xdr:colOff>
      <xdr:row>179</xdr:row>
      <xdr:rowOff>133350</xdr:rowOff>
    </xdr:to>
    <xdr:sp macro="" textlink="">
      <xdr:nvSpPr>
        <xdr:cNvPr id="14" name="176">
          <a:extLst>
            <a:ext uri="{FF2B5EF4-FFF2-40B4-BE49-F238E27FC236}">
              <a16:creationId xmlns:a16="http://schemas.microsoft.com/office/drawing/2014/main" id="{E38F42F3-D1CD-4C09-9A1A-A3EE9E84B1B6}"/>
            </a:ext>
          </a:extLst>
        </xdr:cNvPr>
        <xdr:cNvSpPr/>
      </xdr:nvSpPr>
      <xdr:spPr>
        <a:xfrm>
          <a:off x="13650686" y="27441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179</xdr:row>
      <xdr:rowOff>76200</xdr:rowOff>
    </xdr:from>
    <xdr:to>
      <xdr:col>59</xdr:col>
      <xdr:colOff>20411</xdr:colOff>
      <xdr:row>179</xdr:row>
      <xdr:rowOff>76200</xdr:rowOff>
    </xdr:to>
    <xdr:cxnSp macro="">
      <xdr:nvCxnSpPr>
        <xdr:cNvPr id="15" name="직선 화살표 연결선 14">
          <a:extLst>
            <a:ext uri="{FF2B5EF4-FFF2-40B4-BE49-F238E27FC236}">
              <a16:creationId xmlns:a16="http://schemas.microsoft.com/office/drawing/2014/main" id="{456F571F-892C-4D51-A99F-60E2BD53F65E}"/>
            </a:ext>
          </a:extLst>
        </xdr:cNvPr>
        <xdr:cNvCxnSpPr/>
      </xdr:nvCxnSpPr>
      <xdr:spPr>
        <a:xfrm>
          <a:off x="13650686" y="2749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178</xdr:row>
      <xdr:rowOff>19050</xdr:rowOff>
    </xdr:from>
    <xdr:to>
      <xdr:col>58</xdr:col>
      <xdr:colOff>123734</xdr:colOff>
      <xdr:row>178</xdr:row>
      <xdr:rowOff>133350</xdr:rowOff>
    </xdr:to>
    <xdr:sp macro="" textlink="">
      <xdr:nvSpPr>
        <xdr:cNvPr id="16" name="175">
          <a:extLst>
            <a:ext uri="{FF2B5EF4-FFF2-40B4-BE49-F238E27FC236}">
              <a16:creationId xmlns:a16="http://schemas.microsoft.com/office/drawing/2014/main" id="{88D57D01-FBF4-4E15-BB57-A4C6579F3E7E}"/>
            </a:ext>
          </a:extLst>
        </xdr:cNvPr>
        <xdr:cNvSpPr/>
      </xdr:nvSpPr>
      <xdr:spPr>
        <a:xfrm>
          <a:off x="13364936" y="27289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178</xdr:row>
      <xdr:rowOff>76200</xdr:rowOff>
    </xdr:from>
    <xdr:to>
      <xdr:col>57</xdr:col>
      <xdr:colOff>20411</xdr:colOff>
      <xdr:row>178</xdr:row>
      <xdr:rowOff>76200</xdr:rowOff>
    </xdr:to>
    <xdr:cxnSp macro="">
      <xdr:nvCxnSpPr>
        <xdr:cNvPr id="17" name="직선 화살표 연결선 16">
          <a:extLst>
            <a:ext uri="{FF2B5EF4-FFF2-40B4-BE49-F238E27FC236}">
              <a16:creationId xmlns:a16="http://schemas.microsoft.com/office/drawing/2014/main" id="{64C86DDC-88D4-4172-B187-FF1D00C107DF}"/>
            </a:ext>
          </a:extLst>
        </xdr:cNvPr>
        <xdr:cNvCxnSpPr/>
      </xdr:nvCxnSpPr>
      <xdr:spPr>
        <a:xfrm>
          <a:off x="13364936" y="2734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177</xdr:row>
      <xdr:rowOff>19050</xdr:rowOff>
    </xdr:from>
    <xdr:to>
      <xdr:col>56</xdr:col>
      <xdr:colOff>123734</xdr:colOff>
      <xdr:row>177</xdr:row>
      <xdr:rowOff>133350</xdr:rowOff>
    </xdr:to>
    <xdr:sp macro="" textlink="">
      <xdr:nvSpPr>
        <xdr:cNvPr id="18" name="174">
          <a:extLst>
            <a:ext uri="{FF2B5EF4-FFF2-40B4-BE49-F238E27FC236}">
              <a16:creationId xmlns:a16="http://schemas.microsoft.com/office/drawing/2014/main" id="{769384D4-1B69-46F9-BB83-5025960E227C}"/>
            </a:ext>
          </a:extLst>
        </xdr:cNvPr>
        <xdr:cNvSpPr/>
      </xdr:nvSpPr>
      <xdr:spPr>
        <a:xfrm>
          <a:off x="13079186" y="27136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177</xdr:row>
      <xdr:rowOff>76200</xdr:rowOff>
    </xdr:from>
    <xdr:to>
      <xdr:col>55</xdr:col>
      <xdr:colOff>20411</xdr:colOff>
      <xdr:row>177</xdr:row>
      <xdr:rowOff>76200</xdr:rowOff>
    </xdr:to>
    <xdr:cxnSp macro="">
      <xdr:nvCxnSpPr>
        <xdr:cNvPr id="19" name="직선 화살표 연결선 18">
          <a:extLst>
            <a:ext uri="{FF2B5EF4-FFF2-40B4-BE49-F238E27FC236}">
              <a16:creationId xmlns:a16="http://schemas.microsoft.com/office/drawing/2014/main" id="{2452A798-9B24-4BA2-8830-D568A3F4A757}"/>
            </a:ext>
          </a:extLst>
        </xdr:cNvPr>
        <xdr:cNvCxnSpPr/>
      </xdr:nvCxnSpPr>
      <xdr:spPr>
        <a:xfrm>
          <a:off x="13079186" y="2719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176</xdr:row>
      <xdr:rowOff>19050</xdr:rowOff>
    </xdr:from>
    <xdr:to>
      <xdr:col>54</xdr:col>
      <xdr:colOff>123734</xdr:colOff>
      <xdr:row>176</xdr:row>
      <xdr:rowOff>133350</xdr:rowOff>
    </xdr:to>
    <xdr:sp macro="" textlink="">
      <xdr:nvSpPr>
        <xdr:cNvPr id="20" name="173">
          <a:extLst>
            <a:ext uri="{FF2B5EF4-FFF2-40B4-BE49-F238E27FC236}">
              <a16:creationId xmlns:a16="http://schemas.microsoft.com/office/drawing/2014/main" id="{977D119A-C0B1-440C-8BB3-B03FB07913F9}"/>
            </a:ext>
          </a:extLst>
        </xdr:cNvPr>
        <xdr:cNvSpPr/>
      </xdr:nvSpPr>
      <xdr:spPr>
        <a:xfrm>
          <a:off x="12793435" y="26984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176</xdr:row>
      <xdr:rowOff>76200</xdr:rowOff>
    </xdr:from>
    <xdr:to>
      <xdr:col>53</xdr:col>
      <xdr:colOff>20410</xdr:colOff>
      <xdr:row>176</xdr:row>
      <xdr:rowOff>76200</xdr:rowOff>
    </xdr:to>
    <xdr:cxnSp macro="">
      <xdr:nvCxnSpPr>
        <xdr:cNvPr id="21" name="직선 화살표 연결선 20">
          <a:extLst>
            <a:ext uri="{FF2B5EF4-FFF2-40B4-BE49-F238E27FC236}">
              <a16:creationId xmlns:a16="http://schemas.microsoft.com/office/drawing/2014/main" id="{B3F56B39-6160-493C-8696-4EB8D275349A}"/>
            </a:ext>
          </a:extLst>
        </xdr:cNvPr>
        <xdr:cNvCxnSpPr/>
      </xdr:nvCxnSpPr>
      <xdr:spPr>
        <a:xfrm>
          <a:off x="12793435" y="2704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175</xdr:row>
      <xdr:rowOff>19050</xdr:rowOff>
    </xdr:from>
    <xdr:to>
      <xdr:col>60</xdr:col>
      <xdr:colOff>123734</xdr:colOff>
      <xdr:row>175</xdr:row>
      <xdr:rowOff>133350</xdr:rowOff>
    </xdr:to>
    <xdr:sp macro="" textlink="">
      <xdr:nvSpPr>
        <xdr:cNvPr id="22" name="172">
          <a:extLst>
            <a:ext uri="{FF2B5EF4-FFF2-40B4-BE49-F238E27FC236}">
              <a16:creationId xmlns:a16="http://schemas.microsoft.com/office/drawing/2014/main" id="{2E00D386-9F9F-4366-9471-95BE71EAB92F}"/>
            </a:ext>
          </a:extLst>
        </xdr:cNvPr>
        <xdr:cNvSpPr/>
      </xdr:nvSpPr>
      <xdr:spPr>
        <a:xfrm>
          <a:off x="12793435" y="268319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175</xdr:row>
      <xdr:rowOff>76200</xdr:rowOff>
    </xdr:from>
    <xdr:to>
      <xdr:col>53</xdr:col>
      <xdr:colOff>20410</xdr:colOff>
      <xdr:row>175</xdr:row>
      <xdr:rowOff>76200</xdr:rowOff>
    </xdr:to>
    <xdr:cxnSp macro="">
      <xdr:nvCxnSpPr>
        <xdr:cNvPr id="23" name="직선 화살표 연결선 22">
          <a:extLst>
            <a:ext uri="{FF2B5EF4-FFF2-40B4-BE49-F238E27FC236}">
              <a16:creationId xmlns:a16="http://schemas.microsoft.com/office/drawing/2014/main" id="{71766070-09B1-45A6-B413-57783C406682}"/>
            </a:ext>
          </a:extLst>
        </xdr:cNvPr>
        <xdr:cNvCxnSpPr/>
      </xdr:nvCxnSpPr>
      <xdr:spPr>
        <a:xfrm>
          <a:off x="12793435" y="2688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174</xdr:row>
      <xdr:rowOff>19050</xdr:rowOff>
    </xdr:from>
    <xdr:to>
      <xdr:col>60</xdr:col>
      <xdr:colOff>123734</xdr:colOff>
      <xdr:row>174</xdr:row>
      <xdr:rowOff>133350</xdr:rowOff>
    </xdr:to>
    <xdr:sp macro="" textlink="">
      <xdr:nvSpPr>
        <xdr:cNvPr id="24" name="171">
          <a:extLst>
            <a:ext uri="{FF2B5EF4-FFF2-40B4-BE49-F238E27FC236}">
              <a16:creationId xmlns:a16="http://schemas.microsoft.com/office/drawing/2014/main" id="{8EDE3C00-7F9D-4D58-8A1E-742ABB3BB887}"/>
            </a:ext>
          </a:extLst>
        </xdr:cNvPr>
        <xdr:cNvSpPr/>
      </xdr:nvSpPr>
      <xdr:spPr>
        <a:xfrm>
          <a:off x="12793435" y="266795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174</xdr:row>
      <xdr:rowOff>76200</xdr:rowOff>
    </xdr:from>
    <xdr:to>
      <xdr:col>53</xdr:col>
      <xdr:colOff>20410</xdr:colOff>
      <xdr:row>174</xdr:row>
      <xdr:rowOff>76200</xdr:rowOff>
    </xdr:to>
    <xdr:cxnSp macro="">
      <xdr:nvCxnSpPr>
        <xdr:cNvPr id="25" name="직선 화살표 연결선 24">
          <a:extLst>
            <a:ext uri="{FF2B5EF4-FFF2-40B4-BE49-F238E27FC236}">
              <a16:creationId xmlns:a16="http://schemas.microsoft.com/office/drawing/2014/main" id="{053F8AAC-C0AE-4820-BED2-796583E33061}"/>
            </a:ext>
          </a:extLst>
        </xdr:cNvPr>
        <xdr:cNvCxnSpPr/>
      </xdr:nvCxnSpPr>
      <xdr:spPr>
        <a:xfrm>
          <a:off x="12793435" y="2673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173</xdr:row>
      <xdr:rowOff>19050</xdr:rowOff>
    </xdr:from>
    <xdr:to>
      <xdr:col>68</xdr:col>
      <xdr:colOff>123734</xdr:colOff>
      <xdr:row>173</xdr:row>
      <xdr:rowOff>133350</xdr:rowOff>
    </xdr:to>
    <xdr:sp macro="" textlink="">
      <xdr:nvSpPr>
        <xdr:cNvPr id="26" name="170">
          <a:extLst>
            <a:ext uri="{FF2B5EF4-FFF2-40B4-BE49-F238E27FC236}">
              <a16:creationId xmlns:a16="http://schemas.microsoft.com/office/drawing/2014/main" id="{CB02A295-A3AD-4145-9FCB-C830B39B4A93}"/>
            </a:ext>
          </a:extLst>
        </xdr:cNvPr>
        <xdr:cNvSpPr/>
      </xdr:nvSpPr>
      <xdr:spPr>
        <a:xfrm>
          <a:off x="14793686" y="26527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173</xdr:row>
      <xdr:rowOff>76200</xdr:rowOff>
    </xdr:from>
    <xdr:to>
      <xdr:col>67</xdr:col>
      <xdr:colOff>20411</xdr:colOff>
      <xdr:row>173</xdr:row>
      <xdr:rowOff>76200</xdr:rowOff>
    </xdr:to>
    <xdr:cxnSp macro="">
      <xdr:nvCxnSpPr>
        <xdr:cNvPr id="27" name="직선 화살표 연결선 26">
          <a:extLst>
            <a:ext uri="{FF2B5EF4-FFF2-40B4-BE49-F238E27FC236}">
              <a16:creationId xmlns:a16="http://schemas.microsoft.com/office/drawing/2014/main" id="{34649CC6-453B-4568-816B-1EC45882BAE4}"/>
            </a:ext>
          </a:extLst>
        </xdr:cNvPr>
        <xdr:cNvCxnSpPr/>
      </xdr:nvCxnSpPr>
      <xdr:spPr>
        <a:xfrm>
          <a:off x="14793686" y="2658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172</xdr:row>
      <xdr:rowOff>19050</xdr:rowOff>
    </xdr:from>
    <xdr:to>
      <xdr:col>66</xdr:col>
      <xdr:colOff>123734</xdr:colOff>
      <xdr:row>172</xdr:row>
      <xdr:rowOff>133350</xdr:rowOff>
    </xdr:to>
    <xdr:sp macro="" textlink="">
      <xdr:nvSpPr>
        <xdr:cNvPr id="28" name="169">
          <a:extLst>
            <a:ext uri="{FF2B5EF4-FFF2-40B4-BE49-F238E27FC236}">
              <a16:creationId xmlns:a16="http://schemas.microsoft.com/office/drawing/2014/main" id="{718CB611-ADC7-4250-AB7D-0BEE377DF43B}"/>
            </a:ext>
          </a:extLst>
        </xdr:cNvPr>
        <xdr:cNvSpPr/>
      </xdr:nvSpPr>
      <xdr:spPr>
        <a:xfrm>
          <a:off x="14507936" y="26374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172</xdr:row>
      <xdr:rowOff>76200</xdr:rowOff>
    </xdr:from>
    <xdr:to>
      <xdr:col>65</xdr:col>
      <xdr:colOff>20411</xdr:colOff>
      <xdr:row>172</xdr:row>
      <xdr:rowOff>76200</xdr:rowOff>
    </xdr:to>
    <xdr:cxnSp macro="">
      <xdr:nvCxnSpPr>
        <xdr:cNvPr id="29" name="직선 화살표 연결선 28">
          <a:extLst>
            <a:ext uri="{FF2B5EF4-FFF2-40B4-BE49-F238E27FC236}">
              <a16:creationId xmlns:a16="http://schemas.microsoft.com/office/drawing/2014/main" id="{85C96745-7F29-4AE2-9CD6-7D025C28B44D}"/>
            </a:ext>
          </a:extLst>
        </xdr:cNvPr>
        <xdr:cNvCxnSpPr/>
      </xdr:nvCxnSpPr>
      <xdr:spPr>
        <a:xfrm>
          <a:off x="14507936" y="2643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171</xdr:row>
      <xdr:rowOff>19050</xdr:rowOff>
    </xdr:from>
    <xdr:to>
      <xdr:col>64</xdr:col>
      <xdr:colOff>123734</xdr:colOff>
      <xdr:row>171</xdr:row>
      <xdr:rowOff>133350</xdr:rowOff>
    </xdr:to>
    <xdr:sp macro="" textlink="">
      <xdr:nvSpPr>
        <xdr:cNvPr id="30" name="168">
          <a:extLst>
            <a:ext uri="{FF2B5EF4-FFF2-40B4-BE49-F238E27FC236}">
              <a16:creationId xmlns:a16="http://schemas.microsoft.com/office/drawing/2014/main" id="{5B27FC30-D092-4D3C-98B3-A8772AECB99C}"/>
            </a:ext>
          </a:extLst>
        </xdr:cNvPr>
        <xdr:cNvSpPr/>
      </xdr:nvSpPr>
      <xdr:spPr>
        <a:xfrm>
          <a:off x="14222186" y="26222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171</xdr:row>
      <xdr:rowOff>76200</xdr:rowOff>
    </xdr:from>
    <xdr:to>
      <xdr:col>63</xdr:col>
      <xdr:colOff>20411</xdr:colOff>
      <xdr:row>171</xdr:row>
      <xdr:rowOff>76200</xdr:rowOff>
    </xdr:to>
    <xdr:cxnSp macro="">
      <xdr:nvCxnSpPr>
        <xdr:cNvPr id="31" name="직선 화살표 연결선 30">
          <a:extLst>
            <a:ext uri="{FF2B5EF4-FFF2-40B4-BE49-F238E27FC236}">
              <a16:creationId xmlns:a16="http://schemas.microsoft.com/office/drawing/2014/main" id="{92C62FBB-7110-4AFD-A70E-861C822273F2}"/>
            </a:ext>
          </a:extLst>
        </xdr:cNvPr>
        <xdr:cNvCxnSpPr/>
      </xdr:nvCxnSpPr>
      <xdr:spPr>
        <a:xfrm>
          <a:off x="14222186" y="2627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170</xdr:row>
      <xdr:rowOff>19050</xdr:rowOff>
    </xdr:from>
    <xdr:to>
      <xdr:col>62</xdr:col>
      <xdr:colOff>123734</xdr:colOff>
      <xdr:row>170</xdr:row>
      <xdr:rowOff>133350</xdr:rowOff>
    </xdr:to>
    <xdr:sp macro="" textlink="">
      <xdr:nvSpPr>
        <xdr:cNvPr id="32" name="167">
          <a:extLst>
            <a:ext uri="{FF2B5EF4-FFF2-40B4-BE49-F238E27FC236}">
              <a16:creationId xmlns:a16="http://schemas.microsoft.com/office/drawing/2014/main" id="{F7CE1484-465D-4DEE-A534-5CFC321A18C4}"/>
            </a:ext>
          </a:extLst>
        </xdr:cNvPr>
        <xdr:cNvSpPr/>
      </xdr:nvSpPr>
      <xdr:spPr>
        <a:xfrm>
          <a:off x="13936436" y="26069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170</xdr:row>
      <xdr:rowOff>76200</xdr:rowOff>
    </xdr:from>
    <xdr:to>
      <xdr:col>61</xdr:col>
      <xdr:colOff>20411</xdr:colOff>
      <xdr:row>170</xdr:row>
      <xdr:rowOff>76200</xdr:rowOff>
    </xdr:to>
    <xdr:cxnSp macro="">
      <xdr:nvCxnSpPr>
        <xdr:cNvPr id="33" name="직선 화살표 연결선 32">
          <a:extLst>
            <a:ext uri="{FF2B5EF4-FFF2-40B4-BE49-F238E27FC236}">
              <a16:creationId xmlns:a16="http://schemas.microsoft.com/office/drawing/2014/main" id="{50D17279-CF8D-4C06-972C-BB44593C1699}"/>
            </a:ext>
          </a:extLst>
        </xdr:cNvPr>
        <xdr:cNvCxnSpPr/>
      </xdr:nvCxnSpPr>
      <xdr:spPr>
        <a:xfrm>
          <a:off x="13936436" y="2612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169</xdr:row>
      <xdr:rowOff>19050</xdr:rowOff>
    </xdr:from>
    <xdr:to>
      <xdr:col>46</xdr:col>
      <xdr:colOff>123734</xdr:colOff>
      <xdr:row>169</xdr:row>
      <xdr:rowOff>133350</xdr:rowOff>
    </xdr:to>
    <xdr:sp macro="" textlink="">
      <xdr:nvSpPr>
        <xdr:cNvPr id="34" name="166">
          <a:extLst>
            <a:ext uri="{FF2B5EF4-FFF2-40B4-BE49-F238E27FC236}">
              <a16:creationId xmlns:a16="http://schemas.microsoft.com/office/drawing/2014/main" id="{C5C2FED1-2EEA-4AB6-9B91-456AD2D7396E}"/>
            </a:ext>
          </a:extLst>
        </xdr:cNvPr>
        <xdr:cNvSpPr/>
      </xdr:nvSpPr>
      <xdr:spPr>
        <a:xfrm>
          <a:off x="11650435" y="25917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169</xdr:row>
      <xdr:rowOff>76200</xdr:rowOff>
    </xdr:from>
    <xdr:to>
      <xdr:col>45</xdr:col>
      <xdr:colOff>20410</xdr:colOff>
      <xdr:row>169</xdr:row>
      <xdr:rowOff>76200</xdr:rowOff>
    </xdr:to>
    <xdr:cxnSp macro="">
      <xdr:nvCxnSpPr>
        <xdr:cNvPr id="35" name="직선 화살표 연결선 34">
          <a:extLst>
            <a:ext uri="{FF2B5EF4-FFF2-40B4-BE49-F238E27FC236}">
              <a16:creationId xmlns:a16="http://schemas.microsoft.com/office/drawing/2014/main" id="{5278714E-BF75-422F-8CE0-CEE74DA59B7E}"/>
            </a:ext>
          </a:extLst>
        </xdr:cNvPr>
        <xdr:cNvCxnSpPr/>
      </xdr:nvCxnSpPr>
      <xdr:spPr>
        <a:xfrm>
          <a:off x="11650435" y="2597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168</xdr:row>
      <xdr:rowOff>19050</xdr:rowOff>
    </xdr:from>
    <xdr:to>
      <xdr:col>44</xdr:col>
      <xdr:colOff>123734</xdr:colOff>
      <xdr:row>168</xdr:row>
      <xdr:rowOff>133350</xdr:rowOff>
    </xdr:to>
    <xdr:sp macro="" textlink="">
      <xdr:nvSpPr>
        <xdr:cNvPr id="36" name="165">
          <a:extLst>
            <a:ext uri="{FF2B5EF4-FFF2-40B4-BE49-F238E27FC236}">
              <a16:creationId xmlns:a16="http://schemas.microsoft.com/office/drawing/2014/main" id="{72D9CBE8-C094-40DA-BDA2-EC53B061FEB8}"/>
            </a:ext>
          </a:extLst>
        </xdr:cNvPr>
        <xdr:cNvSpPr/>
      </xdr:nvSpPr>
      <xdr:spPr>
        <a:xfrm>
          <a:off x="11364685" y="25765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168</xdr:row>
      <xdr:rowOff>76200</xdr:rowOff>
    </xdr:from>
    <xdr:to>
      <xdr:col>43</xdr:col>
      <xdr:colOff>20410</xdr:colOff>
      <xdr:row>168</xdr:row>
      <xdr:rowOff>76200</xdr:rowOff>
    </xdr:to>
    <xdr:cxnSp macro="">
      <xdr:nvCxnSpPr>
        <xdr:cNvPr id="37" name="직선 화살표 연결선 36">
          <a:extLst>
            <a:ext uri="{FF2B5EF4-FFF2-40B4-BE49-F238E27FC236}">
              <a16:creationId xmlns:a16="http://schemas.microsoft.com/office/drawing/2014/main" id="{5E721155-B19C-430D-A90C-8CB2859D08F2}"/>
            </a:ext>
          </a:extLst>
        </xdr:cNvPr>
        <xdr:cNvCxnSpPr/>
      </xdr:nvCxnSpPr>
      <xdr:spPr>
        <a:xfrm>
          <a:off x="11364685" y="2582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167</xdr:row>
      <xdr:rowOff>19050</xdr:rowOff>
    </xdr:from>
    <xdr:to>
      <xdr:col>42</xdr:col>
      <xdr:colOff>123734</xdr:colOff>
      <xdr:row>167</xdr:row>
      <xdr:rowOff>133350</xdr:rowOff>
    </xdr:to>
    <xdr:sp macro="" textlink="">
      <xdr:nvSpPr>
        <xdr:cNvPr id="38" name="164">
          <a:extLst>
            <a:ext uri="{FF2B5EF4-FFF2-40B4-BE49-F238E27FC236}">
              <a16:creationId xmlns:a16="http://schemas.microsoft.com/office/drawing/2014/main" id="{C6496B3C-6051-472E-AAF1-6391696A35BB}"/>
            </a:ext>
          </a:extLst>
        </xdr:cNvPr>
        <xdr:cNvSpPr/>
      </xdr:nvSpPr>
      <xdr:spPr>
        <a:xfrm>
          <a:off x="11078935" y="25612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167</xdr:row>
      <xdr:rowOff>76200</xdr:rowOff>
    </xdr:from>
    <xdr:to>
      <xdr:col>41</xdr:col>
      <xdr:colOff>20410</xdr:colOff>
      <xdr:row>167</xdr:row>
      <xdr:rowOff>76200</xdr:rowOff>
    </xdr:to>
    <xdr:cxnSp macro="">
      <xdr:nvCxnSpPr>
        <xdr:cNvPr id="39" name="직선 화살표 연결선 38">
          <a:extLst>
            <a:ext uri="{FF2B5EF4-FFF2-40B4-BE49-F238E27FC236}">
              <a16:creationId xmlns:a16="http://schemas.microsoft.com/office/drawing/2014/main" id="{F8E1CF0E-D3E6-4EEA-846F-CE7B569DFDD1}"/>
            </a:ext>
          </a:extLst>
        </xdr:cNvPr>
        <xdr:cNvCxnSpPr/>
      </xdr:nvCxnSpPr>
      <xdr:spPr>
        <a:xfrm>
          <a:off x="11078935" y="2566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166</xdr:row>
      <xdr:rowOff>19050</xdr:rowOff>
    </xdr:from>
    <xdr:to>
      <xdr:col>40</xdr:col>
      <xdr:colOff>123734</xdr:colOff>
      <xdr:row>166</xdr:row>
      <xdr:rowOff>133350</xdr:rowOff>
    </xdr:to>
    <xdr:sp macro="" textlink="">
      <xdr:nvSpPr>
        <xdr:cNvPr id="40" name="163">
          <a:extLst>
            <a:ext uri="{FF2B5EF4-FFF2-40B4-BE49-F238E27FC236}">
              <a16:creationId xmlns:a16="http://schemas.microsoft.com/office/drawing/2014/main" id="{601D3757-85AD-49EB-BFB4-03709156DB15}"/>
            </a:ext>
          </a:extLst>
        </xdr:cNvPr>
        <xdr:cNvSpPr/>
      </xdr:nvSpPr>
      <xdr:spPr>
        <a:xfrm>
          <a:off x="10793185" y="25460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166</xdr:row>
      <xdr:rowOff>76200</xdr:rowOff>
    </xdr:from>
    <xdr:to>
      <xdr:col>39</xdr:col>
      <xdr:colOff>20410</xdr:colOff>
      <xdr:row>166</xdr:row>
      <xdr:rowOff>76200</xdr:rowOff>
    </xdr:to>
    <xdr:cxnSp macro="">
      <xdr:nvCxnSpPr>
        <xdr:cNvPr id="41" name="직선 화살표 연결선 40">
          <a:extLst>
            <a:ext uri="{FF2B5EF4-FFF2-40B4-BE49-F238E27FC236}">
              <a16:creationId xmlns:a16="http://schemas.microsoft.com/office/drawing/2014/main" id="{C77F91D7-80EA-4AB5-89A4-A97D6402BF6E}"/>
            </a:ext>
          </a:extLst>
        </xdr:cNvPr>
        <xdr:cNvCxnSpPr/>
      </xdr:nvCxnSpPr>
      <xdr:spPr>
        <a:xfrm>
          <a:off x="10793185" y="2551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165</xdr:row>
      <xdr:rowOff>19050</xdr:rowOff>
    </xdr:from>
    <xdr:to>
      <xdr:col>68</xdr:col>
      <xdr:colOff>123734</xdr:colOff>
      <xdr:row>165</xdr:row>
      <xdr:rowOff>133350</xdr:rowOff>
    </xdr:to>
    <xdr:sp macro="" textlink="">
      <xdr:nvSpPr>
        <xdr:cNvPr id="42" name="162">
          <a:extLst>
            <a:ext uri="{FF2B5EF4-FFF2-40B4-BE49-F238E27FC236}">
              <a16:creationId xmlns:a16="http://schemas.microsoft.com/office/drawing/2014/main" id="{2E86B62C-E1DF-47AB-9D8D-C1A183BCDCAE}"/>
            </a:ext>
          </a:extLst>
        </xdr:cNvPr>
        <xdr:cNvSpPr/>
      </xdr:nvSpPr>
      <xdr:spPr>
        <a:xfrm>
          <a:off x="10793185" y="25307925"/>
          <a:ext cx="4246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165</xdr:row>
      <xdr:rowOff>76200</xdr:rowOff>
    </xdr:from>
    <xdr:to>
      <xdr:col>39</xdr:col>
      <xdr:colOff>20410</xdr:colOff>
      <xdr:row>165</xdr:row>
      <xdr:rowOff>76200</xdr:rowOff>
    </xdr:to>
    <xdr:cxnSp macro="">
      <xdr:nvCxnSpPr>
        <xdr:cNvPr id="43" name="직선 화살표 연결선 42">
          <a:extLst>
            <a:ext uri="{FF2B5EF4-FFF2-40B4-BE49-F238E27FC236}">
              <a16:creationId xmlns:a16="http://schemas.microsoft.com/office/drawing/2014/main" id="{0EB5B0C6-A870-4ADD-9965-611B8B77BB48}"/>
            </a:ext>
          </a:extLst>
        </xdr:cNvPr>
        <xdr:cNvCxnSpPr/>
      </xdr:nvCxnSpPr>
      <xdr:spPr>
        <a:xfrm>
          <a:off x="10793185" y="2536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164</xdr:row>
      <xdr:rowOff>19050</xdr:rowOff>
    </xdr:from>
    <xdr:to>
      <xdr:col>68</xdr:col>
      <xdr:colOff>123734</xdr:colOff>
      <xdr:row>164</xdr:row>
      <xdr:rowOff>133350</xdr:rowOff>
    </xdr:to>
    <xdr:sp macro="" textlink="">
      <xdr:nvSpPr>
        <xdr:cNvPr id="44" name="161">
          <a:extLst>
            <a:ext uri="{FF2B5EF4-FFF2-40B4-BE49-F238E27FC236}">
              <a16:creationId xmlns:a16="http://schemas.microsoft.com/office/drawing/2014/main" id="{051B54E0-3E7F-44E8-B947-014635A18E5B}"/>
            </a:ext>
          </a:extLst>
        </xdr:cNvPr>
        <xdr:cNvSpPr/>
      </xdr:nvSpPr>
      <xdr:spPr>
        <a:xfrm>
          <a:off x="10793185" y="25155525"/>
          <a:ext cx="4246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164</xdr:row>
      <xdr:rowOff>76200</xdr:rowOff>
    </xdr:from>
    <xdr:to>
      <xdr:col>39</xdr:col>
      <xdr:colOff>20410</xdr:colOff>
      <xdr:row>164</xdr:row>
      <xdr:rowOff>76200</xdr:rowOff>
    </xdr:to>
    <xdr:cxnSp macro="">
      <xdr:nvCxnSpPr>
        <xdr:cNvPr id="45" name="직선 화살표 연결선 44">
          <a:extLst>
            <a:ext uri="{FF2B5EF4-FFF2-40B4-BE49-F238E27FC236}">
              <a16:creationId xmlns:a16="http://schemas.microsoft.com/office/drawing/2014/main" id="{A84BF451-A8CB-4D09-A842-5AE5E966FFBD}"/>
            </a:ext>
          </a:extLst>
        </xdr:cNvPr>
        <xdr:cNvCxnSpPr/>
      </xdr:nvCxnSpPr>
      <xdr:spPr>
        <a:xfrm>
          <a:off x="10793185" y="2521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163</xdr:row>
      <xdr:rowOff>19050</xdr:rowOff>
    </xdr:from>
    <xdr:to>
      <xdr:col>68</xdr:col>
      <xdr:colOff>123734</xdr:colOff>
      <xdr:row>163</xdr:row>
      <xdr:rowOff>133350</xdr:rowOff>
    </xdr:to>
    <xdr:sp macro="" textlink="">
      <xdr:nvSpPr>
        <xdr:cNvPr id="46" name="160">
          <a:extLst>
            <a:ext uri="{FF2B5EF4-FFF2-40B4-BE49-F238E27FC236}">
              <a16:creationId xmlns:a16="http://schemas.microsoft.com/office/drawing/2014/main" id="{B886B915-C409-4846-A145-5F9500614862}"/>
            </a:ext>
          </a:extLst>
        </xdr:cNvPr>
        <xdr:cNvSpPr/>
      </xdr:nvSpPr>
      <xdr:spPr>
        <a:xfrm>
          <a:off x="10793185" y="25003125"/>
          <a:ext cx="4246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163</xdr:row>
      <xdr:rowOff>76200</xdr:rowOff>
    </xdr:from>
    <xdr:to>
      <xdr:col>39</xdr:col>
      <xdr:colOff>20410</xdr:colOff>
      <xdr:row>163</xdr:row>
      <xdr:rowOff>76200</xdr:rowOff>
    </xdr:to>
    <xdr:cxnSp macro="">
      <xdr:nvCxnSpPr>
        <xdr:cNvPr id="47" name="직선 화살표 연결선 46">
          <a:extLst>
            <a:ext uri="{FF2B5EF4-FFF2-40B4-BE49-F238E27FC236}">
              <a16:creationId xmlns:a16="http://schemas.microsoft.com/office/drawing/2014/main" id="{8C891CF7-5661-4AE6-BD97-53AC8FA353B8}"/>
            </a:ext>
          </a:extLst>
        </xdr:cNvPr>
        <xdr:cNvCxnSpPr/>
      </xdr:nvCxnSpPr>
      <xdr:spPr>
        <a:xfrm>
          <a:off x="10793185" y="2506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162</xdr:row>
      <xdr:rowOff>19050</xdr:rowOff>
    </xdr:from>
    <xdr:to>
      <xdr:col>82</xdr:col>
      <xdr:colOff>123734</xdr:colOff>
      <xdr:row>162</xdr:row>
      <xdr:rowOff>133350</xdr:rowOff>
    </xdr:to>
    <xdr:sp macro="" textlink="">
      <xdr:nvSpPr>
        <xdr:cNvPr id="48" name="159">
          <a:extLst>
            <a:ext uri="{FF2B5EF4-FFF2-40B4-BE49-F238E27FC236}">
              <a16:creationId xmlns:a16="http://schemas.microsoft.com/office/drawing/2014/main" id="{5D6F9131-7585-4413-B0A7-7645F3921390}"/>
            </a:ext>
          </a:extLst>
        </xdr:cNvPr>
        <xdr:cNvSpPr/>
      </xdr:nvSpPr>
      <xdr:spPr>
        <a:xfrm>
          <a:off x="16793936" y="24850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162</xdr:row>
      <xdr:rowOff>76200</xdr:rowOff>
    </xdr:from>
    <xdr:to>
      <xdr:col>81</xdr:col>
      <xdr:colOff>20411</xdr:colOff>
      <xdr:row>162</xdr:row>
      <xdr:rowOff>76200</xdr:rowOff>
    </xdr:to>
    <xdr:cxnSp macro="">
      <xdr:nvCxnSpPr>
        <xdr:cNvPr id="49" name="직선 화살표 연결선 48">
          <a:extLst>
            <a:ext uri="{FF2B5EF4-FFF2-40B4-BE49-F238E27FC236}">
              <a16:creationId xmlns:a16="http://schemas.microsoft.com/office/drawing/2014/main" id="{313CDEC8-AF43-425B-B953-E7EBFF8BFB99}"/>
            </a:ext>
          </a:extLst>
        </xdr:cNvPr>
        <xdr:cNvCxnSpPr/>
      </xdr:nvCxnSpPr>
      <xdr:spPr>
        <a:xfrm>
          <a:off x="16793936" y="2490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20411</xdr:colOff>
      <xdr:row>161</xdr:row>
      <xdr:rowOff>19050</xdr:rowOff>
    </xdr:from>
    <xdr:to>
      <xdr:col>80</xdr:col>
      <xdr:colOff>123734</xdr:colOff>
      <xdr:row>161</xdr:row>
      <xdr:rowOff>133350</xdr:rowOff>
    </xdr:to>
    <xdr:sp macro="" textlink="">
      <xdr:nvSpPr>
        <xdr:cNvPr id="50" name="158">
          <a:extLst>
            <a:ext uri="{FF2B5EF4-FFF2-40B4-BE49-F238E27FC236}">
              <a16:creationId xmlns:a16="http://schemas.microsoft.com/office/drawing/2014/main" id="{6DEC17C3-D5C4-49DD-B949-5E73C7CEE49D}"/>
            </a:ext>
          </a:extLst>
        </xdr:cNvPr>
        <xdr:cNvSpPr/>
      </xdr:nvSpPr>
      <xdr:spPr>
        <a:xfrm>
          <a:off x="16508186" y="24698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20411</xdr:colOff>
      <xdr:row>161</xdr:row>
      <xdr:rowOff>76200</xdr:rowOff>
    </xdr:from>
    <xdr:to>
      <xdr:col>79</xdr:col>
      <xdr:colOff>20411</xdr:colOff>
      <xdr:row>161</xdr:row>
      <xdr:rowOff>76200</xdr:rowOff>
    </xdr:to>
    <xdr:cxnSp macro="">
      <xdr:nvCxnSpPr>
        <xdr:cNvPr id="51" name="직선 화살표 연결선 50">
          <a:extLst>
            <a:ext uri="{FF2B5EF4-FFF2-40B4-BE49-F238E27FC236}">
              <a16:creationId xmlns:a16="http://schemas.microsoft.com/office/drawing/2014/main" id="{41837536-425A-483F-A05D-C3C64CCE5307}"/>
            </a:ext>
          </a:extLst>
        </xdr:cNvPr>
        <xdr:cNvCxnSpPr/>
      </xdr:nvCxnSpPr>
      <xdr:spPr>
        <a:xfrm>
          <a:off x="16508186" y="2475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20411</xdr:colOff>
      <xdr:row>160</xdr:row>
      <xdr:rowOff>19050</xdr:rowOff>
    </xdr:from>
    <xdr:to>
      <xdr:col>82</xdr:col>
      <xdr:colOff>123734</xdr:colOff>
      <xdr:row>160</xdr:row>
      <xdr:rowOff>133350</xdr:rowOff>
    </xdr:to>
    <xdr:sp macro="" textlink="">
      <xdr:nvSpPr>
        <xdr:cNvPr id="52" name="157">
          <a:extLst>
            <a:ext uri="{FF2B5EF4-FFF2-40B4-BE49-F238E27FC236}">
              <a16:creationId xmlns:a16="http://schemas.microsoft.com/office/drawing/2014/main" id="{0389CD72-09E9-4F0A-9423-308F682A1FA4}"/>
            </a:ext>
          </a:extLst>
        </xdr:cNvPr>
        <xdr:cNvSpPr/>
      </xdr:nvSpPr>
      <xdr:spPr>
        <a:xfrm>
          <a:off x="16508186" y="24545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20411</xdr:colOff>
      <xdr:row>160</xdr:row>
      <xdr:rowOff>76200</xdr:rowOff>
    </xdr:from>
    <xdr:to>
      <xdr:col>79</xdr:col>
      <xdr:colOff>20411</xdr:colOff>
      <xdr:row>160</xdr:row>
      <xdr:rowOff>76200</xdr:rowOff>
    </xdr:to>
    <xdr:cxnSp macro="">
      <xdr:nvCxnSpPr>
        <xdr:cNvPr id="53" name="직선 화살표 연결선 52">
          <a:extLst>
            <a:ext uri="{FF2B5EF4-FFF2-40B4-BE49-F238E27FC236}">
              <a16:creationId xmlns:a16="http://schemas.microsoft.com/office/drawing/2014/main" id="{421F7338-8A2B-4523-B7F6-ECCCBA05E779}"/>
            </a:ext>
          </a:extLst>
        </xdr:cNvPr>
        <xdr:cNvCxnSpPr/>
      </xdr:nvCxnSpPr>
      <xdr:spPr>
        <a:xfrm>
          <a:off x="16508186" y="2460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20411</xdr:colOff>
      <xdr:row>159</xdr:row>
      <xdr:rowOff>19050</xdr:rowOff>
    </xdr:from>
    <xdr:to>
      <xdr:col>78</xdr:col>
      <xdr:colOff>123734</xdr:colOff>
      <xdr:row>159</xdr:row>
      <xdr:rowOff>133350</xdr:rowOff>
    </xdr:to>
    <xdr:sp macro="" textlink="">
      <xdr:nvSpPr>
        <xdr:cNvPr id="54" name="156">
          <a:extLst>
            <a:ext uri="{FF2B5EF4-FFF2-40B4-BE49-F238E27FC236}">
              <a16:creationId xmlns:a16="http://schemas.microsoft.com/office/drawing/2014/main" id="{95AFF68A-8390-461F-A821-D631034FA1E2}"/>
            </a:ext>
          </a:extLst>
        </xdr:cNvPr>
        <xdr:cNvSpPr/>
      </xdr:nvSpPr>
      <xdr:spPr>
        <a:xfrm>
          <a:off x="16222436" y="24393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20411</xdr:colOff>
      <xdr:row>159</xdr:row>
      <xdr:rowOff>76200</xdr:rowOff>
    </xdr:from>
    <xdr:to>
      <xdr:col>77</xdr:col>
      <xdr:colOff>20411</xdr:colOff>
      <xdr:row>159</xdr:row>
      <xdr:rowOff>76200</xdr:rowOff>
    </xdr:to>
    <xdr:cxnSp macro="">
      <xdr:nvCxnSpPr>
        <xdr:cNvPr id="55" name="직선 화살표 연결선 54">
          <a:extLst>
            <a:ext uri="{FF2B5EF4-FFF2-40B4-BE49-F238E27FC236}">
              <a16:creationId xmlns:a16="http://schemas.microsoft.com/office/drawing/2014/main" id="{24FE2B6F-1EB3-4A80-8B24-1F2D065C7F18}"/>
            </a:ext>
          </a:extLst>
        </xdr:cNvPr>
        <xdr:cNvCxnSpPr/>
      </xdr:nvCxnSpPr>
      <xdr:spPr>
        <a:xfrm>
          <a:off x="16222436" y="2445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158</xdr:row>
      <xdr:rowOff>19050</xdr:rowOff>
    </xdr:from>
    <xdr:to>
      <xdr:col>76</xdr:col>
      <xdr:colOff>123734</xdr:colOff>
      <xdr:row>158</xdr:row>
      <xdr:rowOff>133350</xdr:rowOff>
    </xdr:to>
    <xdr:sp macro="" textlink="">
      <xdr:nvSpPr>
        <xdr:cNvPr id="56" name="155">
          <a:extLst>
            <a:ext uri="{FF2B5EF4-FFF2-40B4-BE49-F238E27FC236}">
              <a16:creationId xmlns:a16="http://schemas.microsoft.com/office/drawing/2014/main" id="{1E86D4BE-0C8F-4BFB-938C-182939D76B2F}"/>
            </a:ext>
          </a:extLst>
        </xdr:cNvPr>
        <xdr:cNvSpPr/>
      </xdr:nvSpPr>
      <xdr:spPr>
        <a:xfrm>
          <a:off x="15936686" y="24241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158</xdr:row>
      <xdr:rowOff>76200</xdr:rowOff>
    </xdr:from>
    <xdr:to>
      <xdr:col>75</xdr:col>
      <xdr:colOff>20411</xdr:colOff>
      <xdr:row>158</xdr:row>
      <xdr:rowOff>76200</xdr:rowOff>
    </xdr:to>
    <xdr:cxnSp macro="">
      <xdr:nvCxnSpPr>
        <xdr:cNvPr id="57" name="직선 화살표 연결선 56">
          <a:extLst>
            <a:ext uri="{FF2B5EF4-FFF2-40B4-BE49-F238E27FC236}">
              <a16:creationId xmlns:a16="http://schemas.microsoft.com/office/drawing/2014/main" id="{CAF17845-443C-4D2A-B2E0-42CF7C01B426}"/>
            </a:ext>
          </a:extLst>
        </xdr:cNvPr>
        <xdr:cNvCxnSpPr/>
      </xdr:nvCxnSpPr>
      <xdr:spPr>
        <a:xfrm>
          <a:off x="15936686" y="2429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157</xdr:row>
      <xdr:rowOff>19050</xdr:rowOff>
    </xdr:from>
    <xdr:to>
      <xdr:col>78</xdr:col>
      <xdr:colOff>123734</xdr:colOff>
      <xdr:row>157</xdr:row>
      <xdr:rowOff>133350</xdr:rowOff>
    </xdr:to>
    <xdr:sp macro="" textlink="">
      <xdr:nvSpPr>
        <xdr:cNvPr id="58" name="154">
          <a:extLst>
            <a:ext uri="{FF2B5EF4-FFF2-40B4-BE49-F238E27FC236}">
              <a16:creationId xmlns:a16="http://schemas.microsoft.com/office/drawing/2014/main" id="{E1A2228B-2EAF-4FCF-A7D7-62CDD6134671}"/>
            </a:ext>
          </a:extLst>
        </xdr:cNvPr>
        <xdr:cNvSpPr/>
      </xdr:nvSpPr>
      <xdr:spPr>
        <a:xfrm>
          <a:off x="15936686" y="240887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157</xdr:row>
      <xdr:rowOff>76200</xdr:rowOff>
    </xdr:from>
    <xdr:to>
      <xdr:col>75</xdr:col>
      <xdr:colOff>20411</xdr:colOff>
      <xdr:row>157</xdr:row>
      <xdr:rowOff>76200</xdr:rowOff>
    </xdr:to>
    <xdr:cxnSp macro="">
      <xdr:nvCxnSpPr>
        <xdr:cNvPr id="59" name="직선 화살표 연결선 58">
          <a:extLst>
            <a:ext uri="{FF2B5EF4-FFF2-40B4-BE49-F238E27FC236}">
              <a16:creationId xmlns:a16="http://schemas.microsoft.com/office/drawing/2014/main" id="{40A3E9BA-3E26-40B6-86E9-DF299B4C62FD}"/>
            </a:ext>
          </a:extLst>
        </xdr:cNvPr>
        <xdr:cNvCxnSpPr/>
      </xdr:nvCxnSpPr>
      <xdr:spPr>
        <a:xfrm>
          <a:off x="15936686" y="2414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156</xdr:row>
      <xdr:rowOff>19050</xdr:rowOff>
    </xdr:from>
    <xdr:to>
      <xdr:col>82</xdr:col>
      <xdr:colOff>123734</xdr:colOff>
      <xdr:row>156</xdr:row>
      <xdr:rowOff>133350</xdr:rowOff>
    </xdr:to>
    <xdr:sp macro="" textlink="">
      <xdr:nvSpPr>
        <xdr:cNvPr id="60" name="153">
          <a:extLst>
            <a:ext uri="{FF2B5EF4-FFF2-40B4-BE49-F238E27FC236}">
              <a16:creationId xmlns:a16="http://schemas.microsoft.com/office/drawing/2014/main" id="{DF2EBA52-2B1C-42EA-B8D9-90DF86C41568}"/>
            </a:ext>
          </a:extLst>
        </xdr:cNvPr>
        <xdr:cNvSpPr/>
      </xdr:nvSpPr>
      <xdr:spPr>
        <a:xfrm>
          <a:off x="15936686" y="23936325"/>
          <a:ext cx="11034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156</xdr:row>
      <xdr:rowOff>76200</xdr:rowOff>
    </xdr:from>
    <xdr:to>
      <xdr:col>75</xdr:col>
      <xdr:colOff>20411</xdr:colOff>
      <xdr:row>156</xdr:row>
      <xdr:rowOff>76200</xdr:rowOff>
    </xdr:to>
    <xdr:cxnSp macro="">
      <xdr:nvCxnSpPr>
        <xdr:cNvPr id="61" name="직선 화살표 연결선 60">
          <a:extLst>
            <a:ext uri="{FF2B5EF4-FFF2-40B4-BE49-F238E27FC236}">
              <a16:creationId xmlns:a16="http://schemas.microsoft.com/office/drawing/2014/main" id="{31769942-2834-473D-9FA5-DE06F60B6423}"/>
            </a:ext>
          </a:extLst>
        </xdr:cNvPr>
        <xdr:cNvCxnSpPr/>
      </xdr:nvCxnSpPr>
      <xdr:spPr>
        <a:xfrm>
          <a:off x="15936686" y="2399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155</xdr:row>
      <xdr:rowOff>19050</xdr:rowOff>
    </xdr:from>
    <xdr:to>
      <xdr:col>50</xdr:col>
      <xdr:colOff>123734</xdr:colOff>
      <xdr:row>155</xdr:row>
      <xdr:rowOff>133350</xdr:rowOff>
    </xdr:to>
    <xdr:sp macro="" textlink="">
      <xdr:nvSpPr>
        <xdr:cNvPr id="62" name="152">
          <a:extLst>
            <a:ext uri="{FF2B5EF4-FFF2-40B4-BE49-F238E27FC236}">
              <a16:creationId xmlns:a16="http://schemas.microsoft.com/office/drawing/2014/main" id="{DE55FF3E-2C44-4846-9E27-639D5C76533C}"/>
            </a:ext>
          </a:extLst>
        </xdr:cNvPr>
        <xdr:cNvSpPr/>
      </xdr:nvSpPr>
      <xdr:spPr>
        <a:xfrm>
          <a:off x="12221935" y="23783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155</xdr:row>
      <xdr:rowOff>76200</xdr:rowOff>
    </xdr:from>
    <xdr:to>
      <xdr:col>49</xdr:col>
      <xdr:colOff>20410</xdr:colOff>
      <xdr:row>155</xdr:row>
      <xdr:rowOff>76200</xdr:rowOff>
    </xdr:to>
    <xdr:cxnSp macro="">
      <xdr:nvCxnSpPr>
        <xdr:cNvPr id="63" name="직선 화살표 연결선 62">
          <a:extLst>
            <a:ext uri="{FF2B5EF4-FFF2-40B4-BE49-F238E27FC236}">
              <a16:creationId xmlns:a16="http://schemas.microsoft.com/office/drawing/2014/main" id="{4F4A53C1-D6FF-4BA2-8BB6-C378BC4850BD}"/>
            </a:ext>
          </a:extLst>
        </xdr:cNvPr>
        <xdr:cNvCxnSpPr/>
      </xdr:nvCxnSpPr>
      <xdr:spPr>
        <a:xfrm>
          <a:off x="12221935" y="2384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154</xdr:row>
      <xdr:rowOff>19050</xdr:rowOff>
    </xdr:from>
    <xdr:to>
      <xdr:col>48</xdr:col>
      <xdr:colOff>123734</xdr:colOff>
      <xdr:row>154</xdr:row>
      <xdr:rowOff>133350</xdr:rowOff>
    </xdr:to>
    <xdr:sp macro="" textlink="">
      <xdr:nvSpPr>
        <xdr:cNvPr id="13952" name="151">
          <a:extLst>
            <a:ext uri="{FF2B5EF4-FFF2-40B4-BE49-F238E27FC236}">
              <a16:creationId xmlns:a16="http://schemas.microsoft.com/office/drawing/2014/main" id="{0778E12F-FB75-4039-B376-2E402352E3D3}"/>
            </a:ext>
          </a:extLst>
        </xdr:cNvPr>
        <xdr:cNvSpPr/>
      </xdr:nvSpPr>
      <xdr:spPr>
        <a:xfrm>
          <a:off x="11936185" y="23631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154</xdr:row>
      <xdr:rowOff>76200</xdr:rowOff>
    </xdr:from>
    <xdr:to>
      <xdr:col>47</xdr:col>
      <xdr:colOff>20410</xdr:colOff>
      <xdr:row>154</xdr:row>
      <xdr:rowOff>76200</xdr:rowOff>
    </xdr:to>
    <xdr:cxnSp macro="">
      <xdr:nvCxnSpPr>
        <xdr:cNvPr id="13953" name="직선 화살표 연결선 13952">
          <a:extLst>
            <a:ext uri="{FF2B5EF4-FFF2-40B4-BE49-F238E27FC236}">
              <a16:creationId xmlns:a16="http://schemas.microsoft.com/office/drawing/2014/main" id="{BFB10049-D387-4E18-A846-D33B02E0C1D6}"/>
            </a:ext>
          </a:extLst>
        </xdr:cNvPr>
        <xdr:cNvCxnSpPr/>
      </xdr:nvCxnSpPr>
      <xdr:spPr>
        <a:xfrm>
          <a:off x="11936185" y="2368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153</xdr:row>
      <xdr:rowOff>19050</xdr:rowOff>
    </xdr:from>
    <xdr:to>
      <xdr:col>50</xdr:col>
      <xdr:colOff>123734</xdr:colOff>
      <xdr:row>153</xdr:row>
      <xdr:rowOff>133350</xdr:rowOff>
    </xdr:to>
    <xdr:sp macro="" textlink="">
      <xdr:nvSpPr>
        <xdr:cNvPr id="13954" name="150">
          <a:extLst>
            <a:ext uri="{FF2B5EF4-FFF2-40B4-BE49-F238E27FC236}">
              <a16:creationId xmlns:a16="http://schemas.microsoft.com/office/drawing/2014/main" id="{3B6CCFF0-DCD4-4BE1-B841-A3C4FDBFFDCC}"/>
            </a:ext>
          </a:extLst>
        </xdr:cNvPr>
        <xdr:cNvSpPr/>
      </xdr:nvSpPr>
      <xdr:spPr>
        <a:xfrm>
          <a:off x="11936185" y="234791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153</xdr:row>
      <xdr:rowOff>76200</xdr:rowOff>
    </xdr:from>
    <xdr:to>
      <xdr:col>47</xdr:col>
      <xdr:colOff>20410</xdr:colOff>
      <xdr:row>153</xdr:row>
      <xdr:rowOff>76200</xdr:rowOff>
    </xdr:to>
    <xdr:cxnSp macro="">
      <xdr:nvCxnSpPr>
        <xdr:cNvPr id="13955" name="직선 화살표 연결선 13954">
          <a:extLst>
            <a:ext uri="{FF2B5EF4-FFF2-40B4-BE49-F238E27FC236}">
              <a16:creationId xmlns:a16="http://schemas.microsoft.com/office/drawing/2014/main" id="{6B45C8E2-FC2E-4777-A9FE-89C5CE65335D}"/>
            </a:ext>
          </a:extLst>
        </xdr:cNvPr>
        <xdr:cNvCxnSpPr/>
      </xdr:nvCxnSpPr>
      <xdr:spPr>
        <a:xfrm>
          <a:off x="11936185" y="2353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152</xdr:row>
      <xdr:rowOff>19050</xdr:rowOff>
    </xdr:from>
    <xdr:to>
      <xdr:col>46</xdr:col>
      <xdr:colOff>123734</xdr:colOff>
      <xdr:row>152</xdr:row>
      <xdr:rowOff>133350</xdr:rowOff>
    </xdr:to>
    <xdr:sp macro="" textlink="">
      <xdr:nvSpPr>
        <xdr:cNvPr id="13956" name="149">
          <a:extLst>
            <a:ext uri="{FF2B5EF4-FFF2-40B4-BE49-F238E27FC236}">
              <a16:creationId xmlns:a16="http://schemas.microsoft.com/office/drawing/2014/main" id="{B85F708D-14F6-4CC9-8B8A-85CD7313DDC0}"/>
            </a:ext>
          </a:extLst>
        </xdr:cNvPr>
        <xdr:cNvSpPr/>
      </xdr:nvSpPr>
      <xdr:spPr>
        <a:xfrm>
          <a:off x="11650435" y="2332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152</xdr:row>
      <xdr:rowOff>76200</xdr:rowOff>
    </xdr:from>
    <xdr:to>
      <xdr:col>45</xdr:col>
      <xdr:colOff>20410</xdr:colOff>
      <xdr:row>152</xdr:row>
      <xdr:rowOff>76200</xdr:rowOff>
    </xdr:to>
    <xdr:cxnSp macro="">
      <xdr:nvCxnSpPr>
        <xdr:cNvPr id="13957" name="직선 화살표 연결선 13956">
          <a:extLst>
            <a:ext uri="{FF2B5EF4-FFF2-40B4-BE49-F238E27FC236}">
              <a16:creationId xmlns:a16="http://schemas.microsoft.com/office/drawing/2014/main" id="{79690BCE-39CA-46FB-9E85-DFBF36B63306}"/>
            </a:ext>
          </a:extLst>
        </xdr:cNvPr>
        <xdr:cNvCxnSpPr/>
      </xdr:nvCxnSpPr>
      <xdr:spPr>
        <a:xfrm>
          <a:off x="11650435" y="2338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151</xdr:row>
      <xdr:rowOff>19050</xdr:rowOff>
    </xdr:from>
    <xdr:to>
      <xdr:col>44</xdr:col>
      <xdr:colOff>123734</xdr:colOff>
      <xdr:row>151</xdr:row>
      <xdr:rowOff>133350</xdr:rowOff>
    </xdr:to>
    <xdr:sp macro="" textlink="">
      <xdr:nvSpPr>
        <xdr:cNvPr id="13958" name="148">
          <a:extLst>
            <a:ext uri="{FF2B5EF4-FFF2-40B4-BE49-F238E27FC236}">
              <a16:creationId xmlns:a16="http://schemas.microsoft.com/office/drawing/2014/main" id="{2B9DCDBE-0984-4A9D-9A4E-F5CF66CF8E6F}"/>
            </a:ext>
          </a:extLst>
        </xdr:cNvPr>
        <xdr:cNvSpPr/>
      </xdr:nvSpPr>
      <xdr:spPr>
        <a:xfrm>
          <a:off x="11364685" y="23174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151</xdr:row>
      <xdr:rowOff>76200</xdr:rowOff>
    </xdr:from>
    <xdr:to>
      <xdr:col>43</xdr:col>
      <xdr:colOff>20410</xdr:colOff>
      <xdr:row>151</xdr:row>
      <xdr:rowOff>76200</xdr:rowOff>
    </xdr:to>
    <xdr:cxnSp macro="">
      <xdr:nvCxnSpPr>
        <xdr:cNvPr id="13959" name="직선 화살표 연결선 13958">
          <a:extLst>
            <a:ext uri="{FF2B5EF4-FFF2-40B4-BE49-F238E27FC236}">
              <a16:creationId xmlns:a16="http://schemas.microsoft.com/office/drawing/2014/main" id="{B5AE8BCD-E941-4D91-9EB2-F478724F97DE}"/>
            </a:ext>
          </a:extLst>
        </xdr:cNvPr>
        <xdr:cNvCxnSpPr/>
      </xdr:nvCxnSpPr>
      <xdr:spPr>
        <a:xfrm>
          <a:off x="11364685" y="2323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150</xdr:row>
      <xdr:rowOff>19050</xdr:rowOff>
    </xdr:from>
    <xdr:to>
      <xdr:col>46</xdr:col>
      <xdr:colOff>123734</xdr:colOff>
      <xdr:row>150</xdr:row>
      <xdr:rowOff>133350</xdr:rowOff>
    </xdr:to>
    <xdr:sp macro="" textlink="">
      <xdr:nvSpPr>
        <xdr:cNvPr id="13960" name="147">
          <a:extLst>
            <a:ext uri="{FF2B5EF4-FFF2-40B4-BE49-F238E27FC236}">
              <a16:creationId xmlns:a16="http://schemas.microsoft.com/office/drawing/2014/main" id="{0C8B9D88-25E2-46F6-949C-E18A686C3C7A}"/>
            </a:ext>
          </a:extLst>
        </xdr:cNvPr>
        <xdr:cNvSpPr/>
      </xdr:nvSpPr>
      <xdr:spPr>
        <a:xfrm>
          <a:off x="11364685" y="230219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150</xdr:row>
      <xdr:rowOff>76200</xdr:rowOff>
    </xdr:from>
    <xdr:to>
      <xdr:col>43</xdr:col>
      <xdr:colOff>20410</xdr:colOff>
      <xdr:row>150</xdr:row>
      <xdr:rowOff>76200</xdr:rowOff>
    </xdr:to>
    <xdr:cxnSp macro="">
      <xdr:nvCxnSpPr>
        <xdr:cNvPr id="13961" name="직선 화살표 연결선 13960">
          <a:extLst>
            <a:ext uri="{FF2B5EF4-FFF2-40B4-BE49-F238E27FC236}">
              <a16:creationId xmlns:a16="http://schemas.microsoft.com/office/drawing/2014/main" id="{7E2126D4-7CB2-4668-A173-2352E00A7CEC}"/>
            </a:ext>
          </a:extLst>
        </xdr:cNvPr>
        <xdr:cNvCxnSpPr/>
      </xdr:nvCxnSpPr>
      <xdr:spPr>
        <a:xfrm>
          <a:off x="11364685" y="2307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149</xdr:row>
      <xdr:rowOff>19050</xdr:rowOff>
    </xdr:from>
    <xdr:to>
      <xdr:col>50</xdr:col>
      <xdr:colOff>123734</xdr:colOff>
      <xdr:row>149</xdr:row>
      <xdr:rowOff>133350</xdr:rowOff>
    </xdr:to>
    <xdr:sp macro="" textlink="">
      <xdr:nvSpPr>
        <xdr:cNvPr id="13962" name="146">
          <a:extLst>
            <a:ext uri="{FF2B5EF4-FFF2-40B4-BE49-F238E27FC236}">
              <a16:creationId xmlns:a16="http://schemas.microsoft.com/office/drawing/2014/main" id="{7047E3D6-42A7-4C66-BD5F-3B192A9032A6}"/>
            </a:ext>
          </a:extLst>
        </xdr:cNvPr>
        <xdr:cNvSpPr/>
      </xdr:nvSpPr>
      <xdr:spPr>
        <a:xfrm>
          <a:off x="11364685" y="228695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149</xdr:row>
      <xdr:rowOff>76200</xdr:rowOff>
    </xdr:from>
    <xdr:to>
      <xdr:col>43</xdr:col>
      <xdr:colOff>20410</xdr:colOff>
      <xdr:row>149</xdr:row>
      <xdr:rowOff>76200</xdr:rowOff>
    </xdr:to>
    <xdr:cxnSp macro="">
      <xdr:nvCxnSpPr>
        <xdr:cNvPr id="13963" name="직선 화살표 연결선 13962">
          <a:extLst>
            <a:ext uri="{FF2B5EF4-FFF2-40B4-BE49-F238E27FC236}">
              <a16:creationId xmlns:a16="http://schemas.microsoft.com/office/drawing/2014/main" id="{DCDEAF97-D400-475A-B29F-7EAB58D3F4D7}"/>
            </a:ext>
          </a:extLst>
        </xdr:cNvPr>
        <xdr:cNvCxnSpPr/>
      </xdr:nvCxnSpPr>
      <xdr:spPr>
        <a:xfrm>
          <a:off x="11364685" y="2292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148</xdr:row>
      <xdr:rowOff>19050</xdr:rowOff>
    </xdr:from>
    <xdr:to>
      <xdr:col>82</xdr:col>
      <xdr:colOff>123734</xdr:colOff>
      <xdr:row>148</xdr:row>
      <xdr:rowOff>133350</xdr:rowOff>
    </xdr:to>
    <xdr:sp macro="" textlink="">
      <xdr:nvSpPr>
        <xdr:cNvPr id="13964" name="145">
          <a:extLst>
            <a:ext uri="{FF2B5EF4-FFF2-40B4-BE49-F238E27FC236}">
              <a16:creationId xmlns:a16="http://schemas.microsoft.com/office/drawing/2014/main" id="{891B85D0-7AA4-41B2-9367-5F8C1A7EE5F4}"/>
            </a:ext>
          </a:extLst>
        </xdr:cNvPr>
        <xdr:cNvSpPr/>
      </xdr:nvSpPr>
      <xdr:spPr>
        <a:xfrm>
          <a:off x="11364685" y="22717125"/>
          <a:ext cx="5675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148</xdr:row>
      <xdr:rowOff>76200</xdr:rowOff>
    </xdr:from>
    <xdr:to>
      <xdr:col>43</xdr:col>
      <xdr:colOff>20410</xdr:colOff>
      <xdr:row>148</xdr:row>
      <xdr:rowOff>76200</xdr:rowOff>
    </xdr:to>
    <xdr:cxnSp macro="">
      <xdr:nvCxnSpPr>
        <xdr:cNvPr id="13965" name="직선 화살표 연결선 13964">
          <a:extLst>
            <a:ext uri="{FF2B5EF4-FFF2-40B4-BE49-F238E27FC236}">
              <a16:creationId xmlns:a16="http://schemas.microsoft.com/office/drawing/2014/main" id="{EEBDEB31-93D0-4AAF-9B4E-C965AA662FD6}"/>
            </a:ext>
          </a:extLst>
        </xdr:cNvPr>
        <xdr:cNvCxnSpPr/>
      </xdr:nvCxnSpPr>
      <xdr:spPr>
        <a:xfrm>
          <a:off x="11364685" y="2277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147</xdr:row>
      <xdr:rowOff>19050</xdr:rowOff>
    </xdr:from>
    <xdr:to>
      <xdr:col>82</xdr:col>
      <xdr:colOff>123734</xdr:colOff>
      <xdr:row>147</xdr:row>
      <xdr:rowOff>133350</xdr:rowOff>
    </xdr:to>
    <xdr:sp macro="" textlink="">
      <xdr:nvSpPr>
        <xdr:cNvPr id="13966" name="144">
          <a:extLst>
            <a:ext uri="{FF2B5EF4-FFF2-40B4-BE49-F238E27FC236}">
              <a16:creationId xmlns:a16="http://schemas.microsoft.com/office/drawing/2014/main" id="{F86C6D7D-E7AD-4828-84E4-A0813DE67301}"/>
            </a:ext>
          </a:extLst>
        </xdr:cNvPr>
        <xdr:cNvSpPr/>
      </xdr:nvSpPr>
      <xdr:spPr>
        <a:xfrm>
          <a:off x="16793936" y="22564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147</xdr:row>
      <xdr:rowOff>76200</xdr:rowOff>
    </xdr:from>
    <xdr:to>
      <xdr:col>81</xdr:col>
      <xdr:colOff>20411</xdr:colOff>
      <xdr:row>147</xdr:row>
      <xdr:rowOff>76200</xdr:rowOff>
    </xdr:to>
    <xdr:cxnSp macro="">
      <xdr:nvCxnSpPr>
        <xdr:cNvPr id="13967" name="직선 화살표 연결선 13966">
          <a:extLst>
            <a:ext uri="{FF2B5EF4-FFF2-40B4-BE49-F238E27FC236}">
              <a16:creationId xmlns:a16="http://schemas.microsoft.com/office/drawing/2014/main" id="{224DA274-CD1A-406A-8705-035D7308F1E5}"/>
            </a:ext>
          </a:extLst>
        </xdr:cNvPr>
        <xdr:cNvCxnSpPr/>
      </xdr:nvCxnSpPr>
      <xdr:spPr>
        <a:xfrm>
          <a:off x="16793936" y="2262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20411</xdr:colOff>
      <xdr:row>146</xdr:row>
      <xdr:rowOff>19050</xdr:rowOff>
    </xdr:from>
    <xdr:to>
      <xdr:col>80</xdr:col>
      <xdr:colOff>123734</xdr:colOff>
      <xdr:row>146</xdr:row>
      <xdr:rowOff>133350</xdr:rowOff>
    </xdr:to>
    <xdr:sp macro="" textlink="">
      <xdr:nvSpPr>
        <xdr:cNvPr id="13968" name="143">
          <a:extLst>
            <a:ext uri="{FF2B5EF4-FFF2-40B4-BE49-F238E27FC236}">
              <a16:creationId xmlns:a16="http://schemas.microsoft.com/office/drawing/2014/main" id="{613EF5DE-EE99-42CC-A913-FB674DF1BAD9}"/>
            </a:ext>
          </a:extLst>
        </xdr:cNvPr>
        <xdr:cNvSpPr/>
      </xdr:nvSpPr>
      <xdr:spPr>
        <a:xfrm>
          <a:off x="16508186" y="22412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20411</xdr:colOff>
      <xdr:row>146</xdr:row>
      <xdr:rowOff>76200</xdr:rowOff>
    </xdr:from>
    <xdr:to>
      <xdr:col>79</xdr:col>
      <xdr:colOff>20411</xdr:colOff>
      <xdr:row>146</xdr:row>
      <xdr:rowOff>76200</xdr:rowOff>
    </xdr:to>
    <xdr:cxnSp macro="">
      <xdr:nvCxnSpPr>
        <xdr:cNvPr id="13969" name="직선 화살표 연결선 13968">
          <a:extLst>
            <a:ext uri="{FF2B5EF4-FFF2-40B4-BE49-F238E27FC236}">
              <a16:creationId xmlns:a16="http://schemas.microsoft.com/office/drawing/2014/main" id="{2CE293D6-D9A9-4A0C-AA4E-CAA9BCA745F8}"/>
            </a:ext>
          </a:extLst>
        </xdr:cNvPr>
        <xdr:cNvCxnSpPr/>
      </xdr:nvCxnSpPr>
      <xdr:spPr>
        <a:xfrm>
          <a:off x="16508186" y="2246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20411</xdr:colOff>
      <xdr:row>145</xdr:row>
      <xdr:rowOff>19050</xdr:rowOff>
    </xdr:from>
    <xdr:to>
      <xdr:col>78</xdr:col>
      <xdr:colOff>123734</xdr:colOff>
      <xdr:row>145</xdr:row>
      <xdr:rowOff>133350</xdr:rowOff>
    </xdr:to>
    <xdr:sp macro="" textlink="">
      <xdr:nvSpPr>
        <xdr:cNvPr id="13970" name="142">
          <a:extLst>
            <a:ext uri="{FF2B5EF4-FFF2-40B4-BE49-F238E27FC236}">
              <a16:creationId xmlns:a16="http://schemas.microsoft.com/office/drawing/2014/main" id="{B9789473-13D8-4928-8330-A489BD5B8854}"/>
            </a:ext>
          </a:extLst>
        </xdr:cNvPr>
        <xdr:cNvSpPr/>
      </xdr:nvSpPr>
      <xdr:spPr>
        <a:xfrm>
          <a:off x="16222436" y="22259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20411</xdr:colOff>
      <xdr:row>145</xdr:row>
      <xdr:rowOff>76200</xdr:rowOff>
    </xdr:from>
    <xdr:to>
      <xdr:col>77</xdr:col>
      <xdr:colOff>20411</xdr:colOff>
      <xdr:row>145</xdr:row>
      <xdr:rowOff>76200</xdr:rowOff>
    </xdr:to>
    <xdr:cxnSp macro="">
      <xdr:nvCxnSpPr>
        <xdr:cNvPr id="13971" name="직선 화살표 연결선 13970">
          <a:extLst>
            <a:ext uri="{FF2B5EF4-FFF2-40B4-BE49-F238E27FC236}">
              <a16:creationId xmlns:a16="http://schemas.microsoft.com/office/drawing/2014/main" id="{3B60A43F-9806-4C6A-9F7D-3C8A23272A36}"/>
            </a:ext>
          </a:extLst>
        </xdr:cNvPr>
        <xdr:cNvCxnSpPr/>
      </xdr:nvCxnSpPr>
      <xdr:spPr>
        <a:xfrm>
          <a:off x="16222436" y="2231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144</xdr:row>
      <xdr:rowOff>19050</xdr:rowOff>
    </xdr:from>
    <xdr:to>
      <xdr:col>76</xdr:col>
      <xdr:colOff>123734</xdr:colOff>
      <xdr:row>144</xdr:row>
      <xdr:rowOff>133350</xdr:rowOff>
    </xdr:to>
    <xdr:sp macro="" textlink="">
      <xdr:nvSpPr>
        <xdr:cNvPr id="13972" name="141">
          <a:extLst>
            <a:ext uri="{FF2B5EF4-FFF2-40B4-BE49-F238E27FC236}">
              <a16:creationId xmlns:a16="http://schemas.microsoft.com/office/drawing/2014/main" id="{16A383B0-00EC-4E9D-9C60-545DBDC39607}"/>
            </a:ext>
          </a:extLst>
        </xdr:cNvPr>
        <xdr:cNvSpPr/>
      </xdr:nvSpPr>
      <xdr:spPr>
        <a:xfrm>
          <a:off x="15936686" y="22107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144</xdr:row>
      <xdr:rowOff>76200</xdr:rowOff>
    </xdr:from>
    <xdr:to>
      <xdr:col>75</xdr:col>
      <xdr:colOff>20411</xdr:colOff>
      <xdr:row>144</xdr:row>
      <xdr:rowOff>76200</xdr:rowOff>
    </xdr:to>
    <xdr:cxnSp macro="">
      <xdr:nvCxnSpPr>
        <xdr:cNvPr id="13973" name="직선 화살표 연결선 13972">
          <a:extLst>
            <a:ext uri="{FF2B5EF4-FFF2-40B4-BE49-F238E27FC236}">
              <a16:creationId xmlns:a16="http://schemas.microsoft.com/office/drawing/2014/main" id="{9AADE920-5F83-49FC-B0B8-C90F9B605D03}"/>
            </a:ext>
          </a:extLst>
        </xdr:cNvPr>
        <xdr:cNvCxnSpPr/>
      </xdr:nvCxnSpPr>
      <xdr:spPr>
        <a:xfrm>
          <a:off x="15936686" y="2216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143</xdr:row>
      <xdr:rowOff>19050</xdr:rowOff>
    </xdr:from>
    <xdr:to>
      <xdr:col>66</xdr:col>
      <xdr:colOff>123734</xdr:colOff>
      <xdr:row>143</xdr:row>
      <xdr:rowOff>133350</xdr:rowOff>
    </xdr:to>
    <xdr:sp macro="" textlink="">
      <xdr:nvSpPr>
        <xdr:cNvPr id="13974" name="140">
          <a:extLst>
            <a:ext uri="{FF2B5EF4-FFF2-40B4-BE49-F238E27FC236}">
              <a16:creationId xmlns:a16="http://schemas.microsoft.com/office/drawing/2014/main" id="{53A86291-B25A-4B16-AD1C-A524F482FCBB}"/>
            </a:ext>
          </a:extLst>
        </xdr:cNvPr>
        <xdr:cNvSpPr/>
      </xdr:nvSpPr>
      <xdr:spPr>
        <a:xfrm>
          <a:off x="14507936" y="21955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143</xdr:row>
      <xdr:rowOff>76200</xdr:rowOff>
    </xdr:from>
    <xdr:to>
      <xdr:col>65</xdr:col>
      <xdr:colOff>20411</xdr:colOff>
      <xdr:row>143</xdr:row>
      <xdr:rowOff>76200</xdr:rowOff>
    </xdr:to>
    <xdr:cxnSp macro="">
      <xdr:nvCxnSpPr>
        <xdr:cNvPr id="13975" name="직선 화살표 연결선 13974">
          <a:extLst>
            <a:ext uri="{FF2B5EF4-FFF2-40B4-BE49-F238E27FC236}">
              <a16:creationId xmlns:a16="http://schemas.microsoft.com/office/drawing/2014/main" id="{05B0FEDF-6EAF-44AD-BDAF-81423C4E8014}"/>
            </a:ext>
          </a:extLst>
        </xdr:cNvPr>
        <xdr:cNvCxnSpPr/>
      </xdr:nvCxnSpPr>
      <xdr:spPr>
        <a:xfrm>
          <a:off x="14507936" y="2201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142</xdr:row>
      <xdr:rowOff>19050</xdr:rowOff>
    </xdr:from>
    <xdr:to>
      <xdr:col>64</xdr:col>
      <xdr:colOff>123734</xdr:colOff>
      <xdr:row>142</xdr:row>
      <xdr:rowOff>133350</xdr:rowOff>
    </xdr:to>
    <xdr:sp macro="" textlink="">
      <xdr:nvSpPr>
        <xdr:cNvPr id="13976" name="139">
          <a:extLst>
            <a:ext uri="{FF2B5EF4-FFF2-40B4-BE49-F238E27FC236}">
              <a16:creationId xmlns:a16="http://schemas.microsoft.com/office/drawing/2014/main" id="{98C5EF8B-D6D8-498B-8AC8-F30FFBB197A4}"/>
            </a:ext>
          </a:extLst>
        </xdr:cNvPr>
        <xdr:cNvSpPr/>
      </xdr:nvSpPr>
      <xdr:spPr>
        <a:xfrm>
          <a:off x="14222186" y="21802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142</xdr:row>
      <xdr:rowOff>76200</xdr:rowOff>
    </xdr:from>
    <xdr:to>
      <xdr:col>63</xdr:col>
      <xdr:colOff>20411</xdr:colOff>
      <xdr:row>142</xdr:row>
      <xdr:rowOff>76200</xdr:rowOff>
    </xdr:to>
    <xdr:cxnSp macro="">
      <xdr:nvCxnSpPr>
        <xdr:cNvPr id="13977" name="직선 화살표 연결선 13976">
          <a:extLst>
            <a:ext uri="{FF2B5EF4-FFF2-40B4-BE49-F238E27FC236}">
              <a16:creationId xmlns:a16="http://schemas.microsoft.com/office/drawing/2014/main" id="{9893CEBA-E996-4C9D-A83E-57AA64E2D432}"/>
            </a:ext>
          </a:extLst>
        </xdr:cNvPr>
        <xdr:cNvCxnSpPr/>
      </xdr:nvCxnSpPr>
      <xdr:spPr>
        <a:xfrm>
          <a:off x="14222186" y="2185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141</xdr:row>
      <xdr:rowOff>19050</xdr:rowOff>
    </xdr:from>
    <xdr:to>
      <xdr:col>62</xdr:col>
      <xdr:colOff>123734</xdr:colOff>
      <xdr:row>141</xdr:row>
      <xdr:rowOff>133350</xdr:rowOff>
    </xdr:to>
    <xdr:sp macro="" textlink="">
      <xdr:nvSpPr>
        <xdr:cNvPr id="13978" name="138">
          <a:extLst>
            <a:ext uri="{FF2B5EF4-FFF2-40B4-BE49-F238E27FC236}">
              <a16:creationId xmlns:a16="http://schemas.microsoft.com/office/drawing/2014/main" id="{8D4F126A-6701-440A-A1C4-550102F1FC9E}"/>
            </a:ext>
          </a:extLst>
        </xdr:cNvPr>
        <xdr:cNvSpPr/>
      </xdr:nvSpPr>
      <xdr:spPr>
        <a:xfrm>
          <a:off x="13936436" y="21650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141</xdr:row>
      <xdr:rowOff>76200</xdr:rowOff>
    </xdr:from>
    <xdr:to>
      <xdr:col>61</xdr:col>
      <xdr:colOff>20411</xdr:colOff>
      <xdr:row>141</xdr:row>
      <xdr:rowOff>76200</xdr:rowOff>
    </xdr:to>
    <xdr:cxnSp macro="">
      <xdr:nvCxnSpPr>
        <xdr:cNvPr id="13979" name="직선 화살표 연결선 13978">
          <a:extLst>
            <a:ext uri="{FF2B5EF4-FFF2-40B4-BE49-F238E27FC236}">
              <a16:creationId xmlns:a16="http://schemas.microsoft.com/office/drawing/2014/main" id="{16576650-F11E-43A0-92A2-F9FAC57D4533}"/>
            </a:ext>
          </a:extLst>
        </xdr:cNvPr>
        <xdr:cNvCxnSpPr/>
      </xdr:nvCxnSpPr>
      <xdr:spPr>
        <a:xfrm>
          <a:off x="13936436" y="2170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140</xdr:row>
      <xdr:rowOff>19050</xdr:rowOff>
    </xdr:from>
    <xdr:to>
      <xdr:col>60</xdr:col>
      <xdr:colOff>123734</xdr:colOff>
      <xdr:row>140</xdr:row>
      <xdr:rowOff>133350</xdr:rowOff>
    </xdr:to>
    <xdr:sp macro="" textlink="">
      <xdr:nvSpPr>
        <xdr:cNvPr id="13980" name="137">
          <a:extLst>
            <a:ext uri="{FF2B5EF4-FFF2-40B4-BE49-F238E27FC236}">
              <a16:creationId xmlns:a16="http://schemas.microsoft.com/office/drawing/2014/main" id="{1E135FCF-B3B3-4265-8394-7A52CE5754FA}"/>
            </a:ext>
          </a:extLst>
        </xdr:cNvPr>
        <xdr:cNvSpPr/>
      </xdr:nvSpPr>
      <xdr:spPr>
        <a:xfrm>
          <a:off x="13650686" y="21497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140</xdr:row>
      <xdr:rowOff>76200</xdr:rowOff>
    </xdr:from>
    <xdr:to>
      <xdr:col>59</xdr:col>
      <xdr:colOff>20411</xdr:colOff>
      <xdr:row>140</xdr:row>
      <xdr:rowOff>76200</xdr:rowOff>
    </xdr:to>
    <xdr:cxnSp macro="">
      <xdr:nvCxnSpPr>
        <xdr:cNvPr id="13981" name="직선 화살표 연결선 13980">
          <a:extLst>
            <a:ext uri="{FF2B5EF4-FFF2-40B4-BE49-F238E27FC236}">
              <a16:creationId xmlns:a16="http://schemas.microsoft.com/office/drawing/2014/main" id="{D091D12A-30A2-4380-9680-CE1ED5131AE3}"/>
            </a:ext>
          </a:extLst>
        </xdr:cNvPr>
        <xdr:cNvCxnSpPr/>
      </xdr:nvCxnSpPr>
      <xdr:spPr>
        <a:xfrm>
          <a:off x="13650686" y="2155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139</xdr:row>
      <xdr:rowOff>19050</xdr:rowOff>
    </xdr:from>
    <xdr:to>
      <xdr:col>58</xdr:col>
      <xdr:colOff>123734</xdr:colOff>
      <xdr:row>139</xdr:row>
      <xdr:rowOff>133350</xdr:rowOff>
    </xdr:to>
    <xdr:sp macro="" textlink="">
      <xdr:nvSpPr>
        <xdr:cNvPr id="13982" name="136">
          <a:extLst>
            <a:ext uri="{FF2B5EF4-FFF2-40B4-BE49-F238E27FC236}">
              <a16:creationId xmlns:a16="http://schemas.microsoft.com/office/drawing/2014/main" id="{5A8D53BF-71E9-4BD2-9A18-3FA03F05D550}"/>
            </a:ext>
          </a:extLst>
        </xdr:cNvPr>
        <xdr:cNvSpPr/>
      </xdr:nvSpPr>
      <xdr:spPr>
        <a:xfrm>
          <a:off x="13364936" y="21345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139</xdr:row>
      <xdr:rowOff>76200</xdr:rowOff>
    </xdr:from>
    <xdr:to>
      <xdr:col>57</xdr:col>
      <xdr:colOff>20411</xdr:colOff>
      <xdr:row>139</xdr:row>
      <xdr:rowOff>76200</xdr:rowOff>
    </xdr:to>
    <xdr:cxnSp macro="">
      <xdr:nvCxnSpPr>
        <xdr:cNvPr id="13983" name="직선 화살표 연결선 13982">
          <a:extLst>
            <a:ext uri="{FF2B5EF4-FFF2-40B4-BE49-F238E27FC236}">
              <a16:creationId xmlns:a16="http://schemas.microsoft.com/office/drawing/2014/main" id="{D5A6802B-BF1B-42A4-91DD-29846539B63E}"/>
            </a:ext>
          </a:extLst>
        </xdr:cNvPr>
        <xdr:cNvCxnSpPr/>
      </xdr:nvCxnSpPr>
      <xdr:spPr>
        <a:xfrm>
          <a:off x="13364936" y="2140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138</xdr:row>
      <xdr:rowOff>19050</xdr:rowOff>
    </xdr:from>
    <xdr:to>
      <xdr:col>66</xdr:col>
      <xdr:colOff>123734</xdr:colOff>
      <xdr:row>138</xdr:row>
      <xdr:rowOff>133350</xdr:rowOff>
    </xdr:to>
    <xdr:sp macro="" textlink="">
      <xdr:nvSpPr>
        <xdr:cNvPr id="13984" name="135">
          <a:extLst>
            <a:ext uri="{FF2B5EF4-FFF2-40B4-BE49-F238E27FC236}">
              <a16:creationId xmlns:a16="http://schemas.microsoft.com/office/drawing/2014/main" id="{B686D72B-2E21-4E13-AEC0-D1FDBC8A48C2}"/>
            </a:ext>
          </a:extLst>
        </xdr:cNvPr>
        <xdr:cNvSpPr/>
      </xdr:nvSpPr>
      <xdr:spPr>
        <a:xfrm>
          <a:off x="14507936" y="21193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138</xdr:row>
      <xdr:rowOff>76200</xdr:rowOff>
    </xdr:from>
    <xdr:to>
      <xdr:col>65</xdr:col>
      <xdr:colOff>20411</xdr:colOff>
      <xdr:row>138</xdr:row>
      <xdr:rowOff>76200</xdr:rowOff>
    </xdr:to>
    <xdr:cxnSp macro="">
      <xdr:nvCxnSpPr>
        <xdr:cNvPr id="13985" name="직선 화살표 연결선 13984">
          <a:extLst>
            <a:ext uri="{FF2B5EF4-FFF2-40B4-BE49-F238E27FC236}">
              <a16:creationId xmlns:a16="http://schemas.microsoft.com/office/drawing/2014/main" id="{4DF9CAC4-72B2-4216-A2FE-71E68E499AEC}"/>
            </a:ext>
          </a:extLst>
        </xdr:cNvPr>
        <xdr:cNvCxnSpPr/>
      </xdr:nvCxnSpPr>
      <xdr:spPr>
        <a:xfrm>
          <a:off x="14507936" y="2125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137</xdr:row>
      <xdr:rowOff>19050</xdr:rowOff>
    </xdr:from>
    <xdr:to>
      <xdr:col>64</xdr:col>
      <xdr:colOff>123734</xdr:colOff>
      <xdr:row>137</xdr:row>
      <xdr:rowOff>133350</xdr:rowOff>
    </xdr:to>
    <xdr:sp macro="" textlink="">
      <xdr:nvSpPr>
        <xdr:cNvPr id="13986" name="134">
          <a:extLst>
            <a:ext uri="{FF2B5EF4-FFF2-40B4-BE49-F238E27FC236}">
              <a16:creationId xmlns:a16="http://schemas.microsoft.com/office/drawing/2014/main" id="{FBD7AD2C-0139-4BCD-A9DC-B30EDD965E5B}"/>
            </a:ext>
          </a:extLst>
        </xdr:cNvPr>
        <xdr:cNvSpPr/>
      </xdr:nvSpPr>
      <xdr:spPr>
        <a:xfrm>
          <a:off x="14222186" y="21040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137</xdr:row>
      <xdr:rowOff>76200</xdr:rowOff>
    </xdr:from>
    <xdr:to>
      <xdr:col>63</xdr:col>
      <xdr:colOff>20411</xdr:colOff>
      <xdr:row>137</xdr:row>
      <xdr:rowOff>76200</xdr:rowOff>
    </xdr:to>
    <xdr:cxnSp macro="">
      <xdr:nvCxnSpPr>
        <xdr:cNvPr id="13987" name="직선 화살표 연결선 13986">
          <a:extLst>
            <a:ext uri="{FF2B5EF4-FFF2-40B4-BE49-F238E27FC236}">
              <a16:creationId xmlns:a16="http://schemas.microsoft.com/office/drawing/2014/main" id="{99D4A4D4-6F5B-498E-9E38-0C7C2413BE22}"/>
            </a:ext>
          </a:extLst>
        </xdr:cNvPr>
        <xdr:cNvCxnSpPr/>
      </xdr:nvCxnSpPr>
      <xdr:spPr>
        <a:xfrm>
          <a:off x="14222186" y="2109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136</xdr:row>
      <xdr:rowOff>19050</xdr:rowOff>
    </xdr:from>
    <xdr:to>
      <xdr:col>62</xdr:col>
      <xdr:colOff>123734</xdr:colOff>
      <xdr:row>136</xdr:row>
      <xdr:rowOff>133350</xdr:rowOff>
    </xdr:to>
    <xdr:sp macro="" textlink="">
      <xdr:nvSpPr>
        <xdr:cNvPr id="13988" name="133">
          <a:extLst>
            <a:ext uri="{FF2B5EF4-FFF2-40B4-BE49-F238E27FC236}">
              <a16:creationId xmlns:a16="http://schemas.microsoft.com/office/drawing/2014/main" id="{20FF623F-B0D6-4D66-AD9C-17CE41DBA293}"/>
            </a:ext>
          </a:extLst>
        </xdr:cNvPr>
        <xdr:cNvSpPr/>
      </xdr:nvSpPr>
      <xdr:spPr>
        <a:xfrm>
          <a:off x="13936436" y="20888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136</xdr:row>
      <xdr:rowOff>76200</xdr:rowOff>
    </xdr:from>
    <xdr:to>
      <xdr:col>61</xdr:col>
      <xdr:colOff>20411</xdr:colOff>
      <xdr:row>136</xdr:row>
      <xdr:rowOff>76200</xdr:rowOff>
    </xdr:to>
    <xdr:cxnSp macro="">
      <xdr:nvCxnSpPr>
        <xdr:cNvPr id="13989" name="직선 화살표 연결선 13988">
          <a:extLst>
            <a:ext uri="{FF2B5EF4-FFF2-40B4-BE49-F238E27FC236}">
              <a16:creationId xmlns:a16="http://schemas.microsoft.com/office/drawing/2014/main" id="{95EA5A63-C24A-4327-B220-4478BE45AF62}"/>
            </a:ext>
          </a:extLst>
        </xdr:cNvPr>
        <xdr:cNvCxnSpPr/>
      </xdr:nvCxnSpPr>
      <xdr:spPr>
        <a:xfrm>
          <a:off x="13936436" y="2094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135</xdr:row>
      <xdr:rowOff>19050</xdr:rowOff>
    </xdr:from>
    <xdr:to>
      <xdr:col>60</xdr:col>
      <xdr:colOff>123734</xdr:colOff>
      <xdr:row>135</xdr:row>
      <xdr:rowOff>133350</xdr:rowOff>
    </xdr:to>
    <xdr:sp macro="" textlink="">
      <xdr:nvSpPr>
        <xdr:cNvPr id="13990" name="132">
          <a:extLst>
            <a:ext uri="{FF2B5EF4-FFF2-40B4-BE49-F238E27FC236}">
              <a16:creationId xmlns:a16="http://schemas.microsoft.com/office/drawing/2014/main" id="{87C25C10-2BD7-4910-8915-408A62BFE393}"/>
            </a:ext>
          </a:extLst>
        </xdr:cNvPr>
        <xdr:cNvSpPr/>
      </xdr:nvSpPr>
      <xdr:spPr>
        <a:xfrm>
          <a:off x="13650686" y="20735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135</xdr:row>
      <xdr:rowOff>76200</xdr:rowOff>
    </xdr:from>
    <xdr:to>
      <xdr:col>59</xdr:col>
      <xdr:colOff>20411</xdr:colOff>
      <xdr:row>135</xdr:row>
      <xdr:rowOff>76200</xdr:rowOff>
    </xdr:to>
    <xdr:cxnSp macro="">
      <xdr:nvCxnSpPr>
        <xdr:cNvPr id="13991" name="직선 화살표 연결선 13990">
          <a:extLst>
            <a:ext uri="{FF2B5EF4-FFF2-40B4-BE49-F238E27FC236}">
              <a16:creationId xmlns:a16="http://schemas.microsoft.com/office/drawing/2014/main" id="{43D6C670-5EF5-47BF-8EBB-3565BB534DA5}"/>
            </a:ext>
          </a:extLst>
        </xdr:cNvPr>
        <xdr:cNvCxnSpPr/>
      </xdr:nvCxnSpPr>
      <xdr:spPr>
        <a:xfrm>
          <a:off x="13650686" y="2079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134</xdr:row>
      <xdr:rowOff>19050</xdr:rowOff>
    </xdr:from>
    <xdr:to>
      <xdr:col>58</xdr:col>
      <xdr:colOff>123734</xdr:colOff>
      <xdr:row>134</xdr:row>
      <xdr:rowOff>133350</xdr:rowOff>
    </xdr:to>
    <xdr:sp macro="" textlink="">
      <xdr:nvSpPr>
        <xdr:cNvPr id="13992" name="131">
          <a:extLst>
            <a:ext uri="{FF2B5EF4-FFF2-40B4-BE49-F238E27FC236}">
              <a16:creationId xmlns:a16="http://schemas.microsoft.com/office/drawing/2014/main" id="{32983A6E-B20D-429F-992E-72B150CB73EB}"/>
            </a:ext>
          </a:extLst>
        </xdr:cNvPr>
        <xdr:cNvSpPr/>
      </xdr:nvSpPr>
      <xdr:spPr>
        <a:xfrm>
          <a:off x="13364936" y="20583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134</xdr:row>
      <xdr:rowOff>76200</xdr:rowOff>
    </xdr:from>
    <xdr:to>
      <xdr:col>57</xdr:col>
      <xdr:colOff>20411</xdr:colOff>
      <xdr:row>134</xdr:row>
      <xdr:rowOff>76200</xdr:rowOff>
    </xdr:to>
    <xdr:cxnSp macro="">
      <xdr:nvCxnSpPr>
        <xdr:cNvPr id="13993" name="직선 화살표 연결선 13992">
          <a:extLst>
            <a:ext uri="{FF2B5EF4-FFF2-40B4-BE49-F238E27FC236}">
              <a16:creationId xmlns:a16="http://schemas.microsoft.com/office/drawing/2014/main" id="{0C957BDF-50FB-4E06-9400-2370B64BB715}"/>
            </a:ext>
          </a:extLst>
        </xdr:cNvPr>
        <xdr:cNvCxnSpPr/>
      </xdr:nvCxnSpPr>
      <xdr:spPr>
        <a:xfrm>
          <a:off x="13364936" y="2064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133</xdr:row>
      <xdr:rowOff>19050</xdr:rowOff>
    </xdr:from>
    <xdr:to>
      <xdr:col>66</xdr:col>
      <xdr:colOff>123734</xdr:colOff>
      <xdr:row>133</xdr:row>
      <xdr:rowOff>133350</xdr:rowOff>
    </xdr:to>
    <xdr:sp macro="" textlink="">
      <xdr:nvSpPr>
        <xdr:cNvPr id="13994" name="130">
          <a:extLst>
            <a:ext uri="{FF2B5EF4-FFF2-40B4-BE49-F238E27FC236}">
              <a16:creationId xmlns:a16="http://schemas.microsoft.com/office/drawing/2014/main" id="{5F913E73-EC19-4C8F-B50C-E348F861EC20}"/>
            </a:ext>
          </a:extLst>
        </xdr:cNvPr>
        <xdr:cNvSpPr/>
      </xdr:nvSpPr>
      <xdr:spPr>
        <a:xfrm>
          <a:off x="14507936" y="20431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133</xdr:row>
      <xdr:rowOff>76200</xdr:rowOff>
    </xdr:from>
    <xdr:to>
      <xdr:col>65</xdr:col>
      <xdr:colOff>20411</xdr:colOff>
      <xdr:row>133</xdr:row>
      <xdr:rowOff>76200</xdr:rowOff>
    </xdr:to>
    <xdr:cxnSp macro="">
      <xdr:nvCxnSpPr>
        <xdr:cNvPr id="13995" name="직선 화살표 연결선 13994">
          <a:extLst>
            <a:ext uri="{FF2B5EF4-FFF2-40B4-BE49-F238E27FC236}">
              <a16:creationId xmlns:a16="http://schemas.microsoft.com/office/drawing/2014/main" id="{94EA3E18-A337-4F5B-989B-5C572B977F5A}"/>
            </a:ext>
          </a:extLst>
        </xdr:cNvPr>
        <xdr:cNvCxnSpPr/>
      </xdr:nvCxnSpPr>
      <xdr:spPr>
        <a:xfrm>
          <a:off x="14507936" y="2048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132</xdr:row>
      <xdr:rowOff>19050</xdr:rowOff>
    </xdr:from>
    <xdr:to>
      <xdr:col>64</xdr:col>
      <xdr:colOff>123734</xdr:colOff>
      <xdr:row>132</xdr:row>
      <xdr:rowOff>133350</xdr:rowOff>
    </xdr:to>
    <xdr:sp macro="" textlink="">
      <xdr:nvSpPr>
        <xdr:cNvPr id="13996" name="129">
          <a:extLst>
            <a:ext uri="{FF2B5EF4-FFF2-40B4-BE49-F238E27FC236}">
              <a16:creationId xmlns:a16="http://schemas.microsoft.com/office/drawing/2014/main" id="{8A3884FB-B43B-412B-8AB2-C7D161EFB74D}"/>
            </a:ext>
          </a:extLst>
        </xdr:cNvPr>
        <xdr:cNvSpPr/>
      </xdr:nvSpPr>
      <xdr:spPr>
        <a:xfrm>
          <a:off x="14222186" y="20278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132</xdr:row>
      <xdr:rowOff>76200</xdr:rowOff>
    </xdr:from>
    <xdr:to>
      <xdr:col>63</xdr:col>
      <xdr:colOff>20411</xdr:colOff>
      <xdr:row>132</xdr:row>
      <xdr:rowOff>76200</xdr:rowOff>
    </xdr:to>
    <xdr:cxnSp macro="">
      <xdr:nvCxnSpPr>
        <xdr:cNvPr id="13997" name="직선 화살표 연결선 13996">
          <a:extLst>
            <a:ext uri="{FF2B5EF4-FFF2-40B4-BE49-F238E27FC236}">
              <a16:creationId xmlns:a16="http://schemas.microsoft.com/office/drawing/2014/main" id="{7248BB56-7158-4955-B418-98B7D7573344}"/>
            </a:ext>
          </a:extLst>
        </xdr:cNvPr>
        <xdr:cNvCxnSpPr/>
      </xdr:nvCxnSpPr>
      <xdr:spPr>
        <a:xfrm>
          <a:off x="14222186" y="2033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131</xdr:row>
      <xdr:rowOff>19050</xdr:rowOff>
    </xdr:from>
    <xdr:to>
      <xdr:col>62</xdr:col>
      <xdr:colOff>123734</xdr:colOff>
      <xdr:row>131</xdr:row>
      <xdr:rowOff>133350</xdr:rowOff>
    </xdr:to>
    <xdr:sp macro="" textlink="">
      <xdr:nvSpPr>
        <xdr:cNvPr id="13998" name="128">
          <a:extLst>
            <a:ext uri="{FF2B5EF4-FFF2-40B4-BE49-F238E27FC236}">
              <a16:creationId xmlns:a16="http://schemas.microsoft.com/office/drawing/2014/main" id="{CD29EDC2-C378-4473-B62D-5CD2A8815377}"/>
            </a:ext>
          </a:extLst>
        </xdr:cNvPr>
        <xdr:cNvSpPr/>
      </xdr:nvSpPr>
      <xdr:spPr>
        <a:xfrm>
          <a:off x="13936436" y="20126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131</xdr:row>
      <xdr:rowOff>76200</xdr:rowOff>
    </xdr:from>
    <xdr:to>
      <xdr:col>61</xdr:col>
      <xdr:colOff>20411</xdr:colOff>
      <xdr:row>131</xdr:row>
      <xdr:rowOff>76200</xdr:rowOff>
    </xdr:to>
    <xdr:cxnSp macro="">
      <xdr:nvCxnSpPr>
        <xdr:cNvPr id="13999" name="직선 화살표 연결선 13998">
          <a:extLst>
            <a:ext uri="{FF2B5EF4-FFF2-40B4-BE49-F238E27FC236}">
              <a16:creationId xmlns:a16="http://schemas.microsoft.com/office/drawing/2014/main" id="{34DB2025-88D2-408F-807B-333DDABDB07B}"/>
            </a:ext>
          </a:extLst>
        </xdr:cNvPr>
        <xdr:cNvCxnSpPr/>
      </xdr:nvCxnSpPr>
      <xdr:spPr>
        <a:xfrm>
          <a:off x="13936436" y="2018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130</xdr:row>
      <xdr:rowOff>19050</xdr:rowOff>
    </xdr:from>
    <xdr:to>
      <xdr:col>60</xdr:col>
      <xdr:colOff>123734</xdr:colOff>
      <xdr:row>130</xdr:row>
      <xdr:rowOff>133350</xdr:rowOff>
    </xdr:to>
    <xdr:sp macro="" textlink="">
      <xdr:nvSpPr>
        <xdr:cNvPr id="14000" name="127">
          <a:extLst>
            <a:ext uri="{FF2B5EF4-FFF2-40B4-BE49-F238E27FC236}">
              <a16:creationId xmlns:a16="http://schemas.microsoft.com/office/drawing/2014/main" id="{53C6D538-4BC8-45B8-BE32-EAFD9D34F4BE}"/>
            </a:ext>
          </a:extLst>
        </xdr:cNvPr>
        <xdr:cNvSpPr/>
      </xdr:nvSpPr>
      <xdr:spPr>
        <a:xfrm>
          <a:off x="13650686" y="19973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130</xdr:row>
      <xdr:rowOff>76200</xdr:rowOff>
    </xdr:from>
    <xdr:to>
      <xdr:col>59</xdr:col>
      <xdr:colOff>20411</xdr:colOff>
      <xdr:row>130</xdr:row>
      <xdr:rowOff>76200</xdr:rowOff>
    </xdr:to>
    <xdr:cxnSp macro="">
      <xdr:nvCxnSpPr>
        <xdr:cNvPr id="14001" name="직선 화살표 연결선 14000">
          <a:extLst>
            <a:ext uri="{FF2B5EF4-FFF2-40B4-BE49-F238E27FC236}">
              <a16:creationId xmlns:a16="http://schemas.microsoft.com/office/drawing/2014/main" id="{ECD7CF67-B1A5-40BB-95C9-98223E022377}"/>
            </a:ext>
          </a:extLst>
        </xdr:cNvPr>
        <xdr:cNvCxnSpPr/>
      </xdr:nvCxnSpPr>
      <xdr:spPr>
        <a:xfrm>
          <a:off x="13650686" y="2003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129</xdr:row>
      <xdr:rowOff>19050</xdr:rowOff>
    </xdr:from>
    <xdr:to>
      <xdr:col>58</xdr:col>
      <xdr:colOff>123734</xdr:colOff>
      <xdr:row>129</xdr:row>
      <xdr:rowOff>133350</xdr:rowOff>
    </xdr:to>
    <xdr:sp macro="" textlink="">
      <xdr:nvSpPr>
        <xdr:cNvPr id="14002" name="126">
          <a:extLst>
            <a:ext uri="{FF2B5EF4-FFF2-40B4-BE49-F238E27FC236}">
              <a16:creationId xmlns:a16="http://schemas.microsoft.com/office/drawing/2014/main" id="{2657F2C0-B768-4A10-96D9-829E8486B117}"/>
            </a:ext>
          </a:extLst>
        </xdr:cNvPr>
        <xdr:cNvSpPr/>
      </xdr:nvSpPr>
      <xdr:spPr>
        <a:xfrm>
          <a:off x="13364936" y="19821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129</xdr:row>
      <xdr:rowOff>76200</xdr:rowOff>
    </xdr:from>
    <xdr:to>
      <xdr:col>57</xdr:col>
      <xdr:colOff>20411</xdr:colOff>
      <xdr:row>129</xdr:row>
      <xdr:rowOff>76200</xdr:rowOff>
    </xdr:to>
    <xdr:cxnSp macro="">
      <xdr:nvCxnSpPr>
        <xdr:cNvPr id="14003" name="직선 화살표 연결선 14002">
          <a:extLst>
            <a:ext uri="{FF2B5EF4-FFF2-40B4-BE49-F238E27FC236}">
              <a16:creationId xmlns:a16="http://schemas.microsoft.com/office/drawing/2014/main" id="{C4673D72-CE8B-4943-A6CE-7F58DD82E0B0}"/>
            </a:ext>
          </a:extLst>
        </xdr:cNvPr>
        <xdr:cNvCxnSpPr/>
      </xdr:nvCxnSpPr>
      <xdr:spPr>
        <a:xfrm>
          <a:off x="13364936" y="1987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128</xdr:row>
      <xdr:rowOff>19050</xdr:rowOff>
    </xdr:from>
    <xdr:to>
      <xdr:col>82</xdr:col>
      <xdr:colOff>123734</xdr:colOff>
      <xdr:row>128</xdr:row>
      <xdr:rowOff>133350</xdr:rowOff>
    </xdr:to>
    <xdr:sp macro="" textlink="">
      <xdr:nvSpPr>
        <xdr:cNvPr id="14004" name="125">
          <a:extLst>
            <a:ext uri="{FF2B5EF4-FFF2-40B4-BE49-F238E27FC236}">
              <a16:creationId xmlns:a16="http://schemas.microsoft.com/office/drawing/2014/main" id="{9883F81F-0E19-41BE-8CA1-0E884ABD29C1}"/>
            </a:ext>
          </a:extLst>
        </xdr:cNvPr>
        <xdr:cNvSpPr/>
      </xdr:nvSpPr>
      <xdr:spPr>
        <a:xfrm>
          <a:off x="13364936" y="19669125"/>
          <a:ext cx="3675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128</xdr:row>
      <xdr:rowOff>76200</xdr:rowOff>
    </xdr:from>
    <xdr:to>
      <xdr:col>57</xdr:col>
      <xdr:colOff>20411</xdr:colOff>
      <xdr:row>128</xdr:row>
      <xdr:rowOff>76200</xdr:rowOff>
    </xdr:to>
    <xdr:cxnSp macro="">
      <xdr:nvCxnSpPr>
        <xdr:cNvPr id="14005" name="직선 화살표 연결선 14004">
          <a:extLst>
            <a:ext uri="{FF2B5EF4-FFF2-40B4-BE49-F238E27FC236}">
              <a16:creationId xmlns:a16="http://schemas.microsoft.com/office/drawing/2014/main" id="{C10131D4-568E-4B0F-B7F3-1F9F6E6E9B4C}"/>
            </a:ext>
          </a:extLst>
        </xdr:cNvPr>
        <xdr:cNvCxnSpPr/>
      </xdr:nvCxnSpPr>
      <xdr:spPr>
        <a:xfrm>
          <a:off x="13364936" y="1972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127</xdr:row>
      <xdr:rowOff>19050</xdr:rowOff>
    </xdr:from>
    <xdr:to>
      <xdr:col>42</xdr:col>
      <xdr:colOff>123734</xdr:colOff>
      <xdr:row>127</xdr:row>
      <xdr:rowOff>133350</xdr:rowOff>
    </xdr:to>
    <xdr:sp macro="" textlink="">
      <xdr:nvSpPr>
        <xdr:cNvPr id="14006" name="124">
          <a:extLst>
            <a:ext uri="{FF2B5EF4-FFF2-40B4-BE49-F238E27FC236}">
              <a16:creationId xmlns:a16="http://schemas.microsoft.com/office/drawing/2014/main" id="{6E23F764-6833-42AC-B4C2-B159776476AB}"/>
            </a:ext>
          </a:extLst>
        </xdr:cNvPr>
        <xdr:cNvSpPr/>
      </xdr:nvSpPr>
      <xdr:spPr>
        <a:xfrm>
          <a:off x="11078935" y="1951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127</xdr:row>
      <xdr:rowOff>76200</xdr:rowOff>
    </xdr:from>
    <xdr:to>
      <xdr:col>41</xdr:col>
      <xdr:colOff>20410</xdr:colOff>
      <xdr:row>127</xdr:row>
      <xdr:rowOff>76200</xdr:rowOff>
    </xdr:to>
    <xdr:cxnSp macro="">
      <xdr:nvCxnSpPr>
        <xdr:cNvPr id="14007" name="직선 화살표 연결선 14006">
          <a:extLst>
            <a:ext uri="{FF2B5EF4-FFF2-40B4-BE49-F238E27FC236}">
              <a16:creationId xmlns:a16="http://schemas.microsoft.com/office/drawing/2014/main" id="{CF0776DB-0EEF-4002-8B12-107C183D7E1F}"/>
            </a:ext>
          </a:extLst>
        </xdr:cNvPr>
        <xdr:cNvCxnSpPr/>
      </xdr:nvCxnSpPr>
      <xdr:spPr>
        <a:xfrm>
          <a:off x="11078935" y="1957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126</xdr:row>
      <xdr:rowOff>19050</xdr:rowOff>
    </xdr:from>
    <xdr:to>
      <xdr:col>40</xdr:col>
      <xdr:colOff>123734</xdr:colOff>
      <xdr:row>126</xdr:row>
      <xdr:rowOff>133350</xdr:rowOff>
    </xdr:to>
    <xdr:sp macro="" textlink="">
      <xdr:nvSpPr>
        <xdr:cNvPr id="14009" name="123">
          <a:extLst>
            <a:ext uri="{FF2B5EF4-FFF2-40B4-BE49-F238E27FC236}">
              <a16:creationId xmlns:a16="http://schemas.microsoft.com/office/drawing/2014/main" id="{915C4740-5686-43D1-A545-1DAD8EE8E998}"/>
            </a:ext>
          </a:extLst>
        </xdr:cNvPr>
        <xdr:cNvSpPr/>
      </xdr:nvSpPr>
      <xdr:spPr>
        <a:xfrm>
          <a:off x="10793185" y="19364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126</xdr:row>
      <xdr:rowOff>76200</xdr:rowOff>
    </xdr:from>
    <xdr:to>
      <xdr:col>39</xdr:col>
      <xdr:colOff>20410</xdr:colOff>
      <xdr:row>126</xdr:row>
      <xdr:rowOff>76200</xdr:rowOff>
    </xdr:to>
    <xdr:cxnSp macro="">
      <xdr:nvCxnSpPr>
        <xdr:cNvPr id="14010" name="직선 화살표 연결선 14009">
          <a:extLst>
            <a:ext uri="{FF2B5EF4-FFF2-40B4-BE49-F238E27FC236}">
              <a16:creationId xmlns:a16="http://schemas.microsoft.com/office/drawing/2014/main" id="{D22CFE10-2F5A-46A7-BFEC-BFF2AC576FCD}"/>
            </a:ext>
          </a:extLst>
        </xdr:cNvPr>
        <xdr:cNvCxnSpPr/>
      </xdr:nvCxnSpPr>
      <xdr:spPr>
        <a:xfrm>
          <a:off x="10793185" y="1942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125</xdr:row>
      <xdr:rowOff>19050</xdr:rowOff>
    </xdr:from>
    <xdr:to>
      <xdr:col>38</xdr:col>
      <xdr:colOff>123734</xdr:colOff>
      <xdr:row>125</xdr:row>
      <xdr:rowOff>133350</xdr:rowOff>
    </xdr:to>
    <xdr:sp macro="" textlink="">
      <xdr:nvSpPr>
        <xdr:cNvPr id="14011" name="122">
          <a:extLst>
            <a:ext uri="{FF2B5EF4-FFF2-40B4-BE49-F238E27FC236}">
              <a16:creationId xmlns:a16="http://schemas.microsoft.com/office/drawing/2014/main" id="{FEED035B-B132-4F10-A9E0-B645F806CB1B}"/>
            </a:ext>
          </a:extLst>
        </xdr:cNvPr>
        <xdr:cNvSpPr/>
      </xdr:nvSpPr>
      <xdr:spPr>
        <a:xfrm>
          <a:off x="10507435" y="19211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125</xdr:row>
      <xdr:rowOff>76200</xdr:rowOff>
    </xdr:from>
    <xdr:to>
      <xdr:col>37</xdr:col>
      <xdr:colOff>20410</xdr:colOff>
      <xdr:row>125</xdr:row>
      <xdr:rowOff>76200</xdr:rowOff>
    </xdr:to>
    <xdr:cxnSp macro="">
      <xdr:nvCxnSpPr>
        <xdr:cNvPr id="14012" name="직선 화살표 연결선 14011">
          <a:extLst>
            <a:ext uri="{FF2B5EF4-FFF2-40B4-BE49-F238E27FC236}">
              <a16:creationId xmlns:a16="http://schemas.microsoft.com/office/drawing/2014/main" id="{21488796-70DF-4295-9171-48222B20E6AF}"/>
            </a:ext>
          </a:extLst>
        </xdr:cNvPr>
        <xdr:cNvCxnSpPr/>
      </xdr:nvCxnSpPr>
      <xdr:spPr>
        <a:xfrm>
          <a:off x="10507435" y="1926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124</xdr:row>
      <xdr:rowOff>19050</xdr:rowOff>
    </xdr:from>
    <xdr:to>
      <xdr:col>36</xdr:col>
      <xdr:colOff>123734</xdr:colOff>
      <xdr:row>124</xdr:row>
      <xdr:rowOff>133350</xdr:rowOff>
    </xdr:to>
    <xdr:sp macro="" textlink="">
      <xdr:nvSpPr>
        <xdr:cNvPr id="14013" name="121">
          <a:extLst>
            <a:ext uri="{FF2B5EF4-FFF2-40B4-BE49-F238E27FC236}">
              <a16:creationId xmlns:a16="http://schemas.microsoft.com/office/drawing/2014/main" id="{5B2C5649-2B3F-4218-9F89-E60BF26CF578}"/>
            </a:ext>
          </a:extLst>
        </xdr:cNvPr>
        <xdr:cNvSpPr/>
      </xdr:nvSpPr>
      <xdr:spPr>
        <a:xfrm>
          <a:off x="10221685" y="19059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124</xdr:row>
      <xdr:rowOff>76200</xdr:rowOff>
    </xdr:from>
    <xdr:to>
      <xdr:col>35</xdr:col>
      <xdr:colOff>20410</xdr:colOff>
      <xdr:row>124</xdr:row>
      <xdr:rowOff>76200</xdr:rowOff>
    </xdr:to>
    <xdr:cxnSp macro="">
      <xdr:nvCxnSpPr>
        <xdr:cNvPr id="14014" name="직선 화살표 연결선 14013">
          <a:extLst>
            <a:ext uri="{FF2B5EF4-FFF2-40B4-BE49-F238E27FC236}">
              <a16:creationId xmlns:a16="http://schemas.microsoft.com/office/drawing/2014/main" id="{634467DD-1E09-4078-9E29-49D87DC05175}"/>
            </a:ext>
          </a:extLst>
        </xdr:cNvPr>
        <xdr:cNvCxnSpPr/>
      </xdr:nvCxnSpPr>
      <xdr:spPr>
        <a:xfrm>
          <a:off x="10221685" y="1911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123</xdr:row>
      <xdr:rowOff>19050</xdr:rowOff>
    </xdr:from>
    <xdr:to>
      <xdr:col>34</xdr:col>
      <xdr:colOff>123734</xdr:colOff>
      <xdr:row>123</xdr:row>
      <xdr:rowOff>133350</xdr:rowOff>
    </xdr:to>
    <xdr:sp macro="" textlink="">
      <xdr:nvSpPr>
        <xdr:cNvPr id="14015" name="120">
          <a:extLst>
            <a:ext uri="{FF2B5EF4-FFF2-40B4-BE49-F238E27FC236}">
              <a16:creationId xmlns:a16="http://schemas.microsoft.com/office/drawing/2014/main" id="{CF3DD625-24CD-4A3C-AC5D-9CF66CFA12A1}"/>
            </a:ext>
          </a:extLst>
        </xdr:cNvPr>
        <xdr:cNvSpPr/>
      </xdr:nvSpPr>
      <xdr:spPr>
        <a:xfrm>
          <a:off x="9935935" y="18907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123</xdr:row>
      <xdr:rowOff>76200</xdr:rowOff>
    </xdr:from>
    <xdr:to>
      <xdr:col>33</xdr:col>
      <xdr:colOff>20410</xdr:colOff>
      <xdr:row>123</xdr:row>
      <xdr:rowOff>76200</xdr:rowOff>
    </xdr:to>
    <xdr:cxnSp macro="">
      <xdr:nvCxnSpPr>
        <xdr:cNvPr id="22976" name="직선 화살표 연결선 22975">
          <a:extLst>
            <a:ext uri="{FF2B5EF4-FFF2-40B4-BE49-F238E27FC236}">
              <a16:creationId xmlns:a16="http://schemas.microsoft.com/office/drawing/2014/main" id="{9A930892-EBFD-494B-AC7F-5C6871A1645F}"/>
            </a:ext>
          </a:extLst>
        </xdr:cNvPr>
        <xdr:cNvCxnSpPr/>
      </xdr:nvCxnSpPr>
      <xdr:spPr>
        <a:xfrm>
          <a:off x="9935935" y="1896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122</xdr:row>
      <xdr:rowOff>19050</xdr:rowOff>
    </xdr:from>
    <xdr:to>
      <xdr:col>32</xdr:col>
      <xdr:colOff>123734</xdr:colOff>
      <xdr:row>122</xdr:row>
      <xdr:rowOff>133350</xdr:rowOff>
    </xdr:to>
    <xdr:sp macro="" textlink="">
      <xdr:nvSpPr>
        <xdr:cNvPr id="22977" name="119">
          <a:extLst>
            <a:ext uri="{FF2B5EF4-FFF2-40B4-BE49-F238E27FC236}">
              <a16:creationId xmlns:a16="http://schemas.microsoft.com/office/drawing/2014/main" id="{971F2737-5306-405C-A19F-CC182A10600D}"/>
            </a:ext>
          </a:extLst>
        </xdr:cNvPr>
        <xdr:cNvSpPr/>
      </xdr:nvSpPr>
      <xdr:spPr>
        <a:xfrm>
          <a:off x="9650185" y="18754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122</xdr:row>
      <xdr:rowOff>76200</xdr:rowOff>
    </xdr:from>
    <xdr:to>
      <xdr:col>31</xdr:col>
      <xdr:colOff>20410</xdr:colOff>
      <xdr:row>122</xdr:row>
      <xdr:rowOff>76200</xdr:rowOff>
    </xdr:to>
    <xdr:cxnSp macro="">
      <xdr:nvCxnSpPr>
        <xdr:cNvPr id="22978" name="직선 화살표 연결선 22977">
          <a:extLst>
            <a:ext uri="{FF2B5EF4-FFF2-40B4-BE49-F238E27FC236}">
              <a16:creationId xmlns:a16="http://schemas.microsoft.com/office/drawing/2014/main" id="{283F610A-E04C-4216-A89C-52CD48C74114}"/>
            </a:ext>
          </a:extLst>
        </xdr:cNvPr>
        <xdr:cNvCxnSpPr/>
      </xdr:nvCxnSpPr>
      <xdr:spPr>
        <a:xfrm>
          <a:off x="9650185" y="1881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121</xdr:row>
      <xdr:rowOff>19050</xdr:rowOff>
    </xdr:from>
    <xdr:to>
      <xdr:col>42</xdr:col>
      <xdr:colOff>123735</xdr:colOff>
      <xdr:row>121</xdr:row>
      <xdr:rowOff>133350</xdr:rowOff>
    </xdr:to>
    <xdr:sp macro="" textlink="">
      <xdr:nvSpPr>
        <xdr:cNvPr id="22979" name="118">
          <a:extLst>
            <a:ext uri="{FF2B5EF4-FFF2-40B4-BE49-F238E27FC236}">
              <a16:creationId xmlns:a16="http://schemas.microsoft.com/office/drawing/2014/main" id="{C43BB1CF-D7C2-4A18-8BDF-8D247450C188}"/>
            </a:ext>
          </a:extLst>
        </xdr:cNvPr>
        <xdr:cNvSpPr/>
      </xdr:nvSpPr>
      <xdr:spPr>
        <a:xfrm>
          <a:off x="9650185" y="18602325"/>
          <a:ext cx="16749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121</xdr:row>
      <xdr:rowOff>76200</xdr:rowOff>
    </xdr:from>
    <xdr:to>
      <xdr:col>31</xdr:col>
      <xdr:colOff>20410</xdr:colOff>
      <xdr:row>121</xdr:row>
      <xdr:rowOff>76200</xdr:rowOff>
    </xdr:to>
    <xdr:cxnSp macro="">
      <xdr:nvCxnSpPr>
        <xdr:cNvPr id="22980" name="직선 화살표 연결선 22979">
          <a:extLst>
            <a:ext uri="{FF2B5EF4-FFF2-40B4-BE49-F238E27FC236}">
              <a16:creationId xmlns:a16="http://schemas.microsoft.com/office/drawing/2014/main" id="{42F9EE58-19B1-469E-8181-464C6F4E2D51}"/>
            </a:ext>
          </a:extLst>
        </xdr:cNvPr>
        <xdr:cNvCxnSpPr/>
      </xdr:nvCxnSpPr>
      <xdr:spPr>
        <a:xfrm>
          <a:off x="9650185" y="1865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120</xdr:row>
      <xdr:rowOff>19050</xdr:rowOff>
    </xdr:from>
    <xdr:to>
      <xdr:col>82</xdr:col>
      <xdr:colOff>123734</xdr:colOff>
      <xdr:row>120</xdr:row>
      <xdr:rowOff>133350</xdr:rowOff>
    </xdr:to>
    <xdr:sp macro="" textlink="">
      <xdr:nvSpPr>
        <xdr:cNvPr id="22981" name="117">
          <a:extLst>
            <a:ext uri="{FF2B5EF4-FFF2-40B4-BE49-F238E27FC236}">
              <a16:creationId xmlns:a16="http://schemas.microsoft.com/office/drawing/2014/main" id="{2D270FB1-378A-499F-B558-AE8F3DCF3A78}"/>
            </a:ext>
          </a:extLst>
        </xdr:cNvPr>
        <xdr:cNvSpPr/>
      </xdr:nvSpPr>
      <xdr:spPr>
        <a:xfrm>
          <a:off x="9650185" y="18449925"/>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120</xdr:row>
      <xdr:rowOff>76200</xdr:rowOff>
    </xdr:from>
    <xdr:to>
      <xdr:col>31</xdr:col>
      <xdr:colOff>20410</xdr:colOff>
      <xdr:row>120</xdr:row>
      <xdr:rowOff>76200</xdr:rowOff>
    </xdr:to>
    <xdr:cxnSp macro="">
      <xdr:nvCxnSpPr>
        <xdr:cNvPr id="22982" name="직선 화살표 연결선 22981">
          <a:extLst>
            <a:ext uri="{FF2B5EF4-FFF2-40B4-BE49-F238E27FC236}">
              <a16:creationId xmlns:a16="http://schemas.microsoft.com/office/drawing/2014/main" id="{2055629A-378E-4B52-83DB-F9B1B00FCC4E}"/>
            </a:ext>
          </a:extLst>
        </xdr:cNvPr>
        <xdr:cNvCxnSpPr/>
      </xdr:nvCxnSpPr>
      <xdr:spPr>
        <a:xfrm>
          <a:off x="9650185" y="1850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119</xdr:row>
      <xdr:rowOff>19050</xdr:rowOff>
    </xdr:from>
    <xdr:to>
      <xdr:col>82</xdr:col>
      <xdr:colOff>123734</xdr:colOff>
      <xdr:row>119</xdr:row>
      <xdr:rowOff>133350</xdr:rowOff>
    </xdr:to>
    <xdr:sp macro="" textlink="">
      <xdr:nvSpPr>
        <xdr:cNvPr id="22983" name="116">
          <a:extLst>
            <a:ext uri="{FF2B5EF4-FFF2-40B4-BE49-F238E27FC236}">
              <a16:creationId xmlns:a16="http://schemas.microsoft.com/office/drawing/2014/main" id="{202CC2D1-6A24-43EC-B070-89257272A4AF}"/>
            </a:ext>
          </a:extLst>
        </xdr:cNvPr>
        <xdr:cNvSpPr/>
      </xdr:nvSpPr>
      <xdr:spPr>
        <a:xfrm>
          <a:off x="9650185" y="18297525"/>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119</xdr:row>
      <xdr:rowOff>76200</xdr:rowOff>
    </xdr:from>
    <xdr:to>
      <xdr:col>31</xdr:col>
      <xdr:colOff>20410</xdr:colOff>
      <xdr:row>119</xdr:row>
      <xdr:rowOff>76200</xdr:rowOff>
    </xdr:to>
    <xdr:cxnSp macro="">
      <xdr:nvCxnSpPr>
        <xdr:cNvPr id="22984" name="직선 화살표 연결선 22983">
          <a:extLst>
            <a:ext uri="{FF2B5EF4-FFF2-40B4-BE49-F238E27FC236}">
              <a16:creationId xmlns:a16="http://schemas.microsoft.com/office/drawing/2014/main" id="{9CC67B72-C7D2-4039-AB2B-3C03F77C195E}"/>
            </a:ext>
          </a:extLst>
        </xdr:cNvPr>
        <xdr:cNvCxnSpPr/>
      </xdr:nvCxnSpPr>
      <xdr:spPr>
        <a:xfrm>
          <a:off x="9650185" y="1835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20411</xdr:colOff>
      <xdr:row>118</xdr:row>
      <xdr:rowOff>19050</xdr:rowOff>
    </xdr:from>
    <xdr:to>
      <xdr:col>74</xdr:col>
      <xdr:colOff>123734</xdr:colOff>
      <xdr:row>118</xdr:row>
      <xdr:rowOff>133350</xdr:rowOff>
    </xdr:to>
    <xdr:sp macro="" textlink="">
      <xdr:nvSpPr>
        <xdr:cNvPr id="22985" name="115">
          <a:extLst>
            <a:ext uri="{FF2B5EF4-FFF2-40B4-BE49-F238E27FC236}">
              <a16:creationId xmlns:a16="http://schemas.microsoft.com/office/drawing/2014/main" id="{218E860B-9108-4A44-B1AE-E42687196FDD}"/>
            </a:ext>
          </a:extLst>
        </xdr:cNvPr>
        <xdr:cNvSpPr/>
      </xdr:nvSpPr>
      <xdr:spPr>
        <a:xfrm>
          <a:off x="15650936" y="18145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20411</xdr:colOff>
      <xdr:row>118</xdr:row>
      <xdr:rowOff>76200</xdr:rowOff>
    </xdr:from>
    <xdr:to>
      <xdr:col>73</xdr:col>
      <xdr:colOff>20411</xdr:colOff>
      <xdr:row>118</xdr:row>
      <xdr:rowOff>76200</xdr:rowOff>
    </xdr:to>
    <xdr:cxnSp macro="">
      <xdr:nvCxnSpPr>
        <xdr:cNvPr id="22986" name="직선 화살표 연결선 22985">
          <a:extLst>
            <a:ext uri="{FF2B5EF4-FFF2-40B4-BE49-F238E27FC236}">
              <a16:creationId xmlns:a16="http://schemas.microsoft.com/office/drawing/2014/main" id="{A4D99FFE-F617-4C74-81A5-A189AD453BAF}"/>
            </a:ext>
          </a:extLst>
        </xdr:cNvPr>
        <xdr:cNvCxnSpPr/>
      </xdr:nvCxnSpPr>
      <xdr:spPr>
        <a:xfrm>
          <a:off x="15650936" y="1820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20411</xdr:colOff>
      <xdr:row>117</xdr:row>
      <xdr:rowOff>19050</xdr:rowOff>
    </xdr:from>
    <xdr:to>
      <xdr:col>72</xdr:col>
      <xdr:colOff>123734</xdr:colOff>
      <xdr:row>117</xdr:row>
      <xdr:rowOff>133350</xdr:rowOff>
    </xdr:to>
    <xdr:sp macro="" textlink="">
      <xdr:nvSpPr>
        <xdr:cNvPr id="22987" name="114">
          <a:extLst>
            <a:ext uri="{FF2B5EF4-FFF2-40B4-BE49-F238E27FC236}">
              <a16:creationId xmlns:a16="http://schemas.microsoft.com/office/drawing/2014/main" id="{F014D80C-92F6-471F-98B2-858600846D3E}"/>
            </a:ext>
          </a:extLst>
        </xdr:cNvPr>
        <xdr:cNvSpPr/>
      </xdr:nvSpPr>
      <xdr:spPr>
        <a:xfrm>
          <a:off x="15365186" y="17992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20411</xdr:colOff>
      <xdr:row>117</xdr:row>
      <xdr:rowOff>76200</xdr:rowOff>
    </xdr:from>
    <xdr:to>
      <xdr:col>71</xdr:col>
      <xdr:colOff>20411</xdr:colOff>
      <xdr:row>117</xdr:row>
      <xdr:rowOff>76200</xdr:rowOff>
    </xdr:to>
    <xdr:cxnSp macro="">
      <xdr:nvCxnSpPr>
        <xdr:cNvPr id="22988" name="직선 화살표 연결선 22987">
          <a:extLst>
            <a:ext uri="{FF2B5EF4-FFF2-40B4-BE49-F238E27FC236}">
              <a16:creationId xmlns:a16="http://schemas.microsoft.com/office/drawing/2014/main" id="{E130672A-1E11-4EAB-A3C0-476C5D0FFEBD}"/>
            </a:ext>
          </a:extLst>
        </xdr:cNvPr>
        <xdr:cNvCxnSpPr/>
      </xdr:nvCxnSpPr>
      <xdr:spPr>
        <a:xfrm>
          <a:off x="15365186" y="1804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20411</xdr:colOff>
      <xdr:row>116</xdr:row>
      <xdr:rowOff>19050</xdr:rowOff>
    </xdr:from>
    <xdr:to>
      <xdr:col>74</xdr:col>
      <xdr:colOff>123734</xdr:colOff>
      <xdr:row>116</xdr:row>
      <xdr:rowOff>133350</xdr:rowOff>
    </xdr:to>
    <xdr:sp macro="" textlink="">
      <xdr:nvSpPr>
        <xdr:cNvPr id="22989" name="113">
          <a:extLst>
            <a:ext uri="{FF2B5EF4-FFF2-40B4-BE49-F238E27FC236}">
              <a16:creationId xmlns:a16="http://schemas.microsoft.com/office/drawing/2014/main" id="{0D62386C-3B80-4F1F-BA9B-4878DA87A1E7}"/>
            </a:ext>
          </a:extLst>
        </xdr:cNvPr>
        <xdr:cNvSpPr/>
      </xdr:nvSpPr>
      <xdr:spPr>
        <a:xfrm>
          <a:off x="15365186" y="17840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20411</xdr:colOff>
      <xdr:row>116</xdr:row>
      <xdr:rowOff>76200</xdr:rowOff>
    </xdr:from>
    <xdr:to>
      <xdr:col>71</xdr:col>
      <xdr:colOff>20411</xdr:colOff>
      <xdr:row>116</xdr:row>
      <xdr:rowOff>76200</xdr:rowOff>
    </xdr:to>
    <xdr:cxnSp macro="">
      <xdr:nvCxnSpPr>
        <xdr:cNvPr id="22990" name="직선 화살표 연결선 22989">
          <a:extLst>
            <a:ext uri="{FF2B5EF4-FFF2-40B4-BE49-F238E27FC236}">
              <a16:creationId xmlns:a16="http://schemas.microsoft.com/office/drawing/2014/main" id="{8885B193-CBFA-4CBF-8D8E-A138BD112691}"/>
            </a:ext>
          </a:extLst>
        </xdr:cNvPr>
        <xdr:cNvCxnSpPr/>
      </xdr:nvCxnSpPr>
      <xdr:spPr>
        <a:xfrm>
          <a:off x="15365186" y="1789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20411</xdr:colOff>
      <xdr:row>115</xdr:row>
      <xdr:rowOff>19050</xdr:rowOff>
    </xdr:from>
    <xdr:to>
      <xdr:col>70</xdr:col>
      <xdr:colOff>123734</xdr:colOff>
      <xdr:row>115</xdr:row>
      <xdr:rowOff>133350</xdr:rowOff>
    </xdr:to>
    <xdr:sp macro="" textlink="">
      <xdr:nvSpPr>
        <xdr:cNvPr id="22991" name="112">
          <a:extLst>
            <a:ext uri="{FF2B5EF4-FFF2-40B4-BE49-F238E27FC236}">
              <a16:creationId xmlns:a16="http://schemas.microsoft.com/office/drawing/2014/main" id="{A02144BC-DA51-4E92-A005-A91F2871CC42}"/>
            </a:ext>
          </a:extLst>
        </xdr:cNvPr>
        <xdr:cNvSpPr/>
      </xdr:nvSpPr>
      <xdr:spPr>
        <a:xfrm>
          <a:off x="15079436" y="17687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20411</xdr:colOff>
      <xdr:row>115</xdr:row>
      <xdr:rowOff>76200</xdr:rowOff>
    </xdr:from>
    <xdr:to>
      <xdr:col>69</xdr:col>
      <xdr:colOff>20411</xdr:colOff>
      <xdr:row>115</xdr:row>
      <xdr:rowOff>76200</xdr:rowOff>
    </xdr:to>
    <xdr:cxnSp macro="">
      <xdr:nvCxnSpPr>
        <xdr:cNvPr id="22992" name="직선 화살표 연결선 22991">
          <a:extLst>
            <a:ext uri="{FF2B5EF4-FFF2-40B4-BE49-F238E27FC236}">
              <a16:creationId xmlns:a16="http://schemas.microsoft.com/office/drawing/2014/main" id="{BDD57609-C1B7-42F5-A94C-A730D7B6E72E}"/>
            </a:ext>
          </a:extLst>
        </xdr:cNvPr>
        <xdr:cNvCxnSpPr/>
      </xdr:nvCxnSpPr>
      <xdr:spPr>
        <a:xfrm>
          <a:off x="15079436" y="1774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114</xdr:row>
      <xdr:rowOff>19050</xdr:rowOff>
    </xdr:from>
    <xdr:to>
      <xdr:col>68</xdr:col>
      <xdr:colOff>123734</xdr:colOff>
      <xdr:row>114</xdr:row>
      <xdr:rowOff>133350</xdr:rowOff>
    </xdr:to>
    <xdr:sp macro="" textlink="">
      <xdr:nvSpPr>
        <xdr:cNvPr id="22993" name="111">
          <a:extLst>
            <a:ext uri="{FF2B5EF4-FFF2-40B4-BE49-F238E27FC236}">
              <a16:creationId xmlns:a16="http://schemas.microsoft.com/office/drawing/2014/main" id="{7F465639-4DF8-42D1-93F1-0B2D04FBCEC0}"/>
            </a:ext>
          </a:extLst>
        </xdr:cNvPr>
        <xdr:cNvSpPr/>
      </xdr:nvSpPr>
      <xdr:spPr>
        <a:xfrm>
          <a:off x="14793686" y="17535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114</xdr:row>
      <xdr:rowOff>76200</xdr:rowOff>
    </xdr:from>
    <xdr:to>
      <xdr:col>67</xdr:col>
      <xdr:colOff>20411</xdr:colOff>
      <xdr:row>114</xdr:row>
      <xdr:rowOff>76200</xdr:rowOff>
    </xdr:to>
    <xdr:cxnSp macro="">
      <xdr:nvCxnSpPr>
        <xdr:cNvPr id="22994" name="직선 화살표 연결선 22993">
          <a:extLst>
            <a:ext uri="{FF2B5EF4-FFF2-40B4-BE49-F238E27FC236}">
              <a16:creationId xmlns:a16="http://schemas.microsoft.com/office/drawing/2014/main" id="{13FEBC51-8021-4668-95B7-5D1C8BC54016}"/>
            </a:ext>
          </a:extLst>
        </xdr:cNvPr>
        <xdr:cNvCxnSpPr/>
      </xdr:nvCxnSpPr>
      <xdr:spPr>
        <a:xfrm>
          <a:off x="14793686" y="1759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113</xdr:row>
      <xdr:rowOff>19050</xdr:rowOff>
    </xdr:from>
    <xdr:to>
      <xdr:col>66</xdr:col>
      <xdr:colOff>123734</xdr:colOff>
      <xdr:row>113</xdr:row>
      <xdr:rowOff>133350</xdr:rowOff>
    </xdr:to>
    <xdr:sp macro="" textlink="">
      <xdr:nvSpPr>
        <xdr:cNvPr id="22995" name="110">
          <a:extLst>
            <a:ext uri="{FF2B5EF4-FFF2-40B4-BE49-F238E27FC236}">
              <a16:creationId xmlns:a16="http://schemas.microsoft.com/office/drawing/2014/main" id="{E54B6A9B-AAF2-442A-88D2-B34FDDA2896D}"/>
            </a:ext>
          </a:extLst>
        </xdr:cNvPr>
        <xdr:cNvSpPr/>
      </xdr:nvSpPr>
      <xdr:spPr>
        <a:xfrm>
          <a:off x="14507936" y="17383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113</xdr:row>
      <xdr:rowOff>76200</xdr:rowOff>
    </xdr:from>
    <xdr:to>
      <xdr:col>65</xdr:col>
      <xdr:colOff>20411</xdr:colOff>
      <xdr:row>113</xdr:row>
      <xdr:rowOff>76200</xdr:rowOff>
    </xdr:to>
    <xdr:cxnSp macro="">
      <xdr:nvCxnSpPr>
        <xdr:cNvPr id="22996" name="직선 화살표 연결선 22995">
          <a:extLst>
            <a:ext uri="{FF2B5EF4-FFF2-40B4-BE49-F238E27FC236}">
              <a16:creationId xmlns:a16="http://schemas.microsoft.com/office/drawing/2014/main" id="{C0E25DBB-5E74-41FF-ADDF-9C9D557B976D}"/>
            </a:ext>
          </a:extLst>
        </xdr:cNvPr>
        <xdr:cNvCxnSpPr/>
      </xdr:nvCxnSpPr>
      <xdr:spPr>
        <a:xfrm>
          <a:off x="14507936" y="1744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112</xdr:row>
      <xdr:rowOff>19050</xdr:rowOff>
    </xdr:from>
    <xdr:to>
      <xdr:col>70</xdr:col>
      <xdr:colOff>123734</xdr:colOff>
      <xdr:row>112</xdr:row>
      <xdr:rowOff>133350</xdr:rowOff>
    </xdr:to>
    <xdr:sp macro="" textlink="">
      <xdr:nvSpPr>
        <xdr:cNvPr id="22997" name="109">
          <a:extLst>
            <a:ext uri="{FF2B5EF4-FFF2-40B4-BE49-F238E27FC236}">
              <a16:creationId xmlns:a16="http://schemas.microsoft.com/office/drawing/2014/main" id="{57FA72FE-AE5D-40E0-AAED-06FD9281AF0B}"/>
            </a:ext>
          </a:extLst>
        </xdr:cNvPr>
        <xdr:cNvSpPr/>
      </xdr:nvSpPr>
      <xdr:spPr>
        <a:xfrm>
          <a:off x="14507936" y="17230725"/>
          <a:ext cx="817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112</xdr:row>
      <xdr:rowOff>76200</xdr:rowOff>
    </xdr:from>
    <xdr:to>
      <xdr:col>65</xdr:col>
      <xdr:colOff>20411</xdr:colOff>
      <xdr:row>112</xdr:row>
      <xdr:rowOff>76200</xdr:rowOff>
    </xdr:to>
    <xdr:cxnSp macro="">
      <xdr:nvCxnSpPr>
        <xdr:cNvPr id="22998" name="직선 화살표 연결선 22997">
          <a:extLst>
            <a:ext uri="{FF2B5EF4-FFF2-40B4-BE49-F238E27FC236}">
              <a16:creationId xmlns:a16="http://schemas.microsoft.com/office/drawing/2014/main" id="{E8CBE8A0-F1A9-4F6A-8994-45EC48A432B9}"/>
            </a:ext>
          </a:extLst>
        </xdr:cNvPr>
        <xdr:cNvCxnSpPr/>
      </xdr:nvCxnSpPr>
      <xdr:spPr>
        <a:xfrm>
          <a:off x="14507936" y="1728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111</xdr:row>
      <xdr:rowOff>19050</xdr:rowOff>
    </xdr:from>
    <xdr:to>
      <xdr:col>64</xdr:col>
      <xdr:colOff>123734</xdr:colOff>
      <xdr:row>111</xdr:row>
      <xdr:rowOff>133350</xdr:rowOff>
    </xdr:to>
    <xdr:sp macro="" textlink="">
      <xdr:nvSpPr>
        <xdr:cNvPr id="22999" name="108">
          <a:extLst>
            <a:ext uri="{FF2B5EF4-FFF2-40B4-BE49-F238E27FC236}">
              <a16:creationId xmlns:a16="http://schemas.microsoft.com/office/drawing/2014/main" id="{04F6270E-1C72-4121-A441-034757213EDE}"/>
            </a:ext>
          </a:extLst>
        </xdr:cNvPr>
        <xdr:cNvSpPr/>
      </xdr:nvSpPr>
      <xdr:spPr>
        <a:xfrm>
          <a:off x="14222186" y="17078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111</xdr:row>
      <xdr:rowOff>76200</xdr:rowOff>
    </xdr:from>
    <xdr:to>
      <xdr:col>63</xdr:col>
      <xdr:colOff>20411</xdr:colOff>
      <xdr:row>111</xdr:row>
      <xdr:rowOff>76200</xdr:rowOff>
    </xdr:to>
    <xdr:cxnSp macro="">
      <xdr:nvCxnSpPr>
        <xdr:cNvPr id="23000" name="직선 화살표 연결선 22999">
          <a:extLst>
            <a:ext uri="{FF2B5EF4-FFF2-40B4-BE49-F238E27FC236}">
              <a16:creationId xmlns:a16="http://schemas.microsoft.com/office/drawing/2014/main" id="{69BD536D-7D8E-4F24-9783-CA02D7B0E105}"/>
            </a:ext>
          </a:extLst>
        </xdr:cNvPr>
        <xdr:cNvCxnSpPr/>
      </xdr:nvCxnSpPr>
      <xdr:spPr>
        <a:xfrm>
          <a:off x="14222186" y="1713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110</xdr:row>
      <xdr:rowOff>19050</xdr:rowOff>
    </xdr:from>
    <xdr:to>
      <xdr:col>62</xdr:col>
      <xdr:colOff>123734</xdr:colOff>
      <xdr:row>110</xdr:row>
      <xdr:rowOff>133350</xdr:rowOff>
    </xdr:to>
    <xdr:sp macro="" textlink="">
      <xdr:nvSpPr>
        <xdr:cNvPr id="23001" name="107">
          <a:extLst>
            <a:ext uri="{FF2B5EF4-FFF2-40B4-BE49-F238E27FC236}">
              <a16:creationId xmlns:a16="http://schemas.microsoft.com/office/drawing/2014/main" id="{040AAC66-7568-4F12-98A1-9BAA6545A6C9}"/>
            </a:ext>
          </a:extLst>
        </xdr:cNvPr>
        <xdr:cNvSpPr/>
      </xdr:nvSpPr>
      <xdr:spPr>
        <a:xfrm>
          <a:off x="13936436" y="16925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110</xdr:row>
      <xdr:rowOff>76200</xdr:rowOff>
    </xdr:from>
    <xdr:to>
      <xdr:col>61</xdr:col>
      <xdr:colOff>20411</xdr:colOff>
      <xdr:row>110</xdr:row>
      <xdr:rowOff>76200</xdr:rowOff>
    </xdr:to>
    <xdr:cxnSp macro="">
      <xdr:nvCxnSpPr>
        <xdr:cNvPr id="23002" name="직선 화살표 연결선 23001">
          <a:extLst>
            <a:ext uri="{FF2B5EF4-FFF2-40B4-BE49-F238E27FC236}">
              <a16:creationId xmlns:a16="http://schemas.microsoft.com/office/drawing/2014/main" id="{CF2D81AA-1E0D-49BC-B1E6-267CB5B95785}"/>
            </a:ext>
          </a:extLst>
        </xdr:cNvPr>
        <xdr:cNvCxnSpPr/>
      </xdr:nvCxnSpPr>
      <xdr:spPr>
        <a:xfrm>
          <a:off x="13936436" y="1698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109</xdr:row>
      <xdr:rowOff>19050</xdr:rowOff>
    </xdr:from>
    <xdr:to>
      <xdr:col>64</xdr:col>
      <xdr:colOff>123734</xdr:colOff>
      <xdr:row>109</xdr:row>
      <xdr:rowOff>133350</xdr:rowOff>
    </xdr:to>
    <xdr:sp macro="" textlink="">
      <xdr:nvSpPr>
        <xdr:cNvPr id="23003" name="106">
          <a:extLst>
            <a:ext uri="{FF2B5EF4-FFF2-40B4-BE49-F238E27FC236}">
              <a16:creationId xmlns:a16="http://schemas.microsoft.com/office/drawing/2014/main" id="{99B9F5DE-84A0-4B24-B04A-3FF09D64B990}"/>
            </a:ext>
          </a:extLst>
        </xdr:cNvPr>
        <xdr:cNvSpPr/>
      </xdr:nvSpPr>
      <xdr:spPr>
        <a:xfrm>
          <a:off x="13936436" y="167735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109</xdr:row>
      <xdr:rowOff>76200</xdr:rowOff>
    </xdr:from>
    <xdr:to>
      <xdr:col>61</xdr:col>
      <xdr:colOff>20411</xdr:colOff>
      <xdr:row>109</xdr:row>
      <xdr:rowOff>76200</xdr:rowOff>
    </xdr:to>
    <xdr:cxnSp macro="">
      <xdr:nvCxnSpPr>
        <xdr:cNvPr id="23004" name="직선 화살표 연결선 23003">
          <a:extLst>
            <a:ext uri="{FF2B5EF4-FFF2-40B4-BE49-F238E27FC236}">
              <a16:creationId xmlns:a16="http://schemas.microsoft.com/office/drawing/2014/main" id="{F4112E7E-7508-4AB8-A3F0-4832DE1E592A}"/>
            </a:ext>
          </a:extLst>
        </xdr:cNvPr>
        <xdr:cNvCxnSpPr/>
      </xdr:nvCxnSpPr>
      <xdr:spPr>
        <a:xfrm>
          <a:off x="13936436" y="1683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108</xdr:row>
      <xdr:rowOff>19050</xdr:rowOff>
    </xdr:from>
    <xdr:to>
      <xdr:col>74</xdr:col>
      <xdr:colOff>123734</xdr:colOff>
      <xdr:row>108</xdr:row>
      <xdr:rowOff>133350</xdr:rowOff>
    </xdr:to>
    <xdr:sp macro="" textlink="">
      <xdr:nvSpPr>
        <xdr:cNvPr id="23005" name="105">
          <a:extLst>
            <a:ext uri="{FF2B5EF4-FFF2-40B4-BE49-F238E27FC236}">
              <a16:creationId xmlns:a16="http://schemas.microsoft.com/office/drawing/2014/main" id="{C6E256F4-D0C8-464A-9EA6-0C749BC8079B}"/>
            </a:ext>
          </a:extLst>
        </xdr:cNvPr>
        <xdr:cNvSpPr/>
      </xdr:nvSpPr>
      <xdr:spPr>
        <a:xfrm>
          <a:off x="13936436" y="16621125"/>
          <a:ext cx="1960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108</xdr:row>
      <xdr:rowOff>76200</xdr:rowOff>
    </xdr:from>
    <xdr:to>
      <xdr:col>61</xdr:col>
      <xdr:colOff>20411</xdr:colOff>
      <xdr:row>108</xdr:row>
      <xdr:rowOff>76200</xdr:rowOff>
    </xdr:to>
    <xdr:cxnSp macro="">
      <xdr:nvCxnSpPr>
        <xdr:cNvPr id="23006" name="직선 화살표 연결선 23005">
          <a:extLst>
            <a:ext uri="{FF2B5EF4-FFF2-40B4-BE49-F238E27FC236}">
              <a16:creationId xmlns:a16="http://schemas.microsoft.com/office/drawing/2014/main" id="{E56CB61E-06BA-4787-A429-CB7BD57D7699}"/>
            </a:ext>
          </a:extLst>
        </xdr:cNvPr>
        <xdr:cNvCxnSpPr/>
      </xdr:nvCxnSpPr>
      <xdr:spPr>
        <a:xfrm>
          <a:off x="13936436" y="1667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107</xdr:row>
      <xdr:rowOff>19050</xdr:rowOff>
    </xdr:from>
    <xdr:to>
      <xdr:col>82</xdr:col>
      <xdr:colOff>123734</xdr:colOff>
      <xdr:row>107</xdr:row>
      <xdr:rowOff>133350</xdr:rowOff>
    </xdr:to>
    <xdr:sp macro="" textlink="">
      <xdr:nvSpPr>
        <xdr:cNvPr id="23007" name="104">
          <a:extLst>
            <a:ext uri="{FF2B5EF4-FFF2-40B4-BE49-F238E27FC236}">
              <a16:creationId xmlns:a16="http://schemas.microsoft.com/office/drawing/2014/main" id="{065C4191-E8A2-4D71-85CE-0A4574600CA8}"/>
            </a:ext>
          </a:extLst>
        </xdr:cNvPr>
        <xdr:cNvSpPr/>
      </xdr:nvSpPr>
      <xdr:spPr>
        <a:xfrm>
          <a:off x="16793936" y="16468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107</xdr:row>
      <xdr:rowOff>76200</xdr:rowOff>
    </xdr:from>
    <xdr:to>
      <xdr:col>81</xdr:col>
      <xdr:colOff>20411</xdr:colOff>
      <xdr:row>107</xdr:row>
      <xdr:rowOff>76200</xdr:rowOff>
    </xdr:to>
    <xdr:cxnSp macro="">
      <xdr:nvCxnSpPr>
        <xdr:cNvPr id="23008" name="직선 화살표 연결선 23007">
          <a:extLst>
            <a:ext uri="{FF2B5EF4-FFF2-40B4-BE49-F238E27FC236}">
              <a16:creationId xmlns:a16="http://schemas.microsoft.com/office/drawing/2014/main" id="{23703705-A8D6-48E6-BF3C-36718C80EA00}"/>
            </a:ext>
          </a:extLst>
        </xdr:cNvPr>
        <xdr:cNvCxnSpPr/>
      </xdr:nvCxnSpPr>
      <xdr:spPr>
        <a:xfrm>
          <a:off x="16793936" y="1652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20411</xdr:colOff>
      <xdr:row>106</xdr:row>
      <xdr:rowOff>19050</xdr:rowOff>
    </xdr:from>
    <xdr:to>
      <xdr:col>80</xdr:col>
      <xdr:colOff>123734</xdr:colOff>
      <xdr:row>106</xdr:row>
      <xdr:rowOff>133350</xdr:rowOff>
    </xdr:to>
    <xdr:sp macro="" textlink="">
      <xdr:nvSpPr>
        <xdr:cNvPr id="23009" name="103">
          <a:extLst>
            <a:ext uri="{FF2B5EF4-FFF2-40B4-BE49-F238E27FC236}">
              <a16:creationId xmlns:a16="http://schemas.microsoft.com/office/drawing/2014/main" id="{A4D46BCB-6AAF-4334-878E-97EBEEEFD374}"/>
            </a:ext>
          </a:extLst>
        </xdr:cNvPr>
        <xdr:cNvSpPr/>
      </xdr:nvSpPr>
      <xdr:spPr>
        <a:xfrm>
          <a:off x="16508186" y="16316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20411</xdr:colOff>
      <xdr:row>106</xdr:row>
      <xdr:rowOff>76200</xdr:rowOff>
    </xdr:from>
    <xdr:to>
      <xdr:col>79</xdr:col>
      <xdr:colOff>20411</xdr:colOff>
      <xdr:row>106</xdr:row>
      <xdr:rowOff>76200</xdr:rowOff>
    </xdr:to>
    <xdr:cxnSp macro="">
      <xdr:nvCxnSpPr>
        <xdr:cNvPr id="23010" name="직선 화살표 연결선 23009">
          <a:extLst>
            <a:ext uri="{FF2B5EF4-FFF2-40B4-BE49-F238E27FC236}">
              <a16:creationId xmlns:a16="http://schemas.microsoft.com/office/drawing/2014/main" id="{C5341045-9ED4-405E-8EA8-BD77A29B19A4}"/>
            </a:ext>
          </a:extLst>
        </xdr:cNvPr>
        <xdr:cNvCxnSpPr/>
      </xdr:nvCxnSpPr>
      <xdr:spPr>
        <a:xfrm>
          <a:off x="16508186" y="1637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20411</xdr:colOff>
      <xdr:row>105</xdr:row>
      <xdr:rowOff>19050</xdr:rowOff>
    </xdr:from>
    <xdr:to>
      <xdr:col>78</xdr:col>
      <xdr:colOff>123734</xdr:colOff>
      <xdr:row>105</xdr:row>
      <xdr:rowOff>133350</xdr:rowOff>
    </xdr:to>
    <xdr:sp macro="" textlink="">
      <xdr:nvSpPr>
        <xdr:cNvPr id="23011" name="102">
          <a:extLst>
            <a:ext uri="{FF2B5EF4-FFF2-40B4-BE49-F238E27FC236}">
              <a16:creationId xmlns:a16="http://schemas.microsoft.com/office/drawing/2014/main" id="{597114E3-4FFF-4B7B-836B-CBAC5BB053F0}"/>
            </a:ext>
          </a:extLst>
        </xdr:cNvPr>
        <xdr:cNvSpPr/>
      </xdr:nvSpPr>
      <xdr:spPr>
        <a:xfrm>
          <a:off x="16222436" y="16163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20411</xdr:colOff>
      <xdr:row>105</xdr:row>
      <xdr:rowOff>76200</xdr:rowOff>
    </xdr:from>
    <xdr:to>
      <xdr:col>77</xdr:col>
      <xdr:colOff>20411</xdr:colOff>
      <xdr:row>105</xdr:row>
      <xdr:rowOff>76200</xdr:rowOff>
    </xdr:to>
    <xdr:cxnSp macro="">
      <xdr:nvCxnSpPr>
        <xdr:cNvPr id="23012" name="직선 화살표 연결선 23011">
          <a:extLst>
            <a:ext uri="{FF2B5EF4-FFF2-40B4-BE49-F238E27FC236}">
              <a16:creationId xmlns:a16="http://schemas.microsoft.com/office/drawing/2014/main" id="{953C2E90-DFD6-4734-AC9B-B8CD9F5C2E8D}"/>
            </a:ext>
          </a:extLst>
        </xdr:cNvPr>
        <xdr:cNvCxnSpPr/>
      </xdr:nvCxnSpPr>
      <xdr:spPr>
        <a:xfrm>
          <a:off x="16222436" y="1622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104</xdr:row>
      <xdr:rowOff>19050</xdr:rowOff>
    </xdr:from>
    <xdr:to>
      <xdr:col>76</xdr:col>
      <xdr:colOff>123734</xdr:colOff>
      <xdr:row>104</xdr:row>
      <xdr:rowOff>133350</xdr:rowOff>
    </xdr:to>
    <xdr:sp macro="" textlink="">
      <xdr:nvSpPr>
        <xdr:cNvPr id="23013" name="101">
          <a:extLst>
            <a:ext uri="{FF2B5EF4-FFF2-40B4-BE49-F238E27FC236}">
              <a16:creationId xmlns:a16="http://schemas.microsoft.com/office/drawing/2014/main" id="{3765CE0E-20AF-4E9C-8C85-A5C9B1E462A3}"/>
            </a:ext>
          </a:extLst>
        </xdr:cNvPr>
        <xdr:cNvSpPr/>
      </xdr:nvSpPr>
      <xdr:spPr>
        <a:xfrm>
          <a:off x="15936686" y="16011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104</xdr:row>
      <xdr:rowOff>76200</xdr:rowOff>
    </xdr:from>
    <xdr:to>
      <xdr:col>75</xdr:col>
      <xdr:colOff>20411</xdr:colOff>
      <xdr:row>104</xdr:row>
      <xdr:rowOff>76200</xdr:rowOff>
    </xdr:to>
    <xdr:cxnSp macro="">
      <xdr:nvCxnSpPr>
        <xdr:cNvPr id="23014" name="직선 화살표 연결선 23013">
          <a:extLst>
            <a:ext uri="{FF2B5EF4-FFF2-40B4-BE49-F238E27FC236}">
              <a16:creationId xmlns:a16="http://schemas.microsoft.com/office/drawing/2014/main" id="{EBCE6DE3-8792-4E46-A0DD-685B2CE63783}"/>
            </a:ext>
          </a:extLst>
        </xdr:cNvPr>
        <xdr:cNvCxnSpPr/>
      </xdr:nvCxnSpPr>
      <xdr:spPr>
        <a:xfrm>
          <a:off x="15936686" y="1606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20411</xdr:colOff>
      <xdr:row>103</xdr:row>
      <xdr:rowOff>19050</xdr:rowOff>
    </xdr:from>
    <xdr:to>
      <xdr:col>74</xdr:col>
      <xdr:colOff>123734</xdr:colOff>
      <xdr:row>103</xdr:row>
      <xdr:rowOff>133350</xdr:rowOff>
    </xdr:to>
    <xdr:sp macro="" textlink="">
      <xdr:nvSpPr>
        <xdr:cNvPr id="23015" name="100">
          <a:extLst>
            <a:ext uri="{FF2B5EF4-FFF2-40B4-BE49-F238E27FC236}">
              <a16:creationId xmlns:a16="http://schemas.microsoft.com/office/drawing/2014/main" id="{6EA7CA9F-3F5C-469E-9C15-DE63E7074848}"/>
            </a:ext>
          </a:extLst>
        </xdr:cNvPr>
        <xdr:cNvSpPr/>
      </xdr:nvSpPr>
      <xdr:spPr>
        <a:xfrm>
          <a:off x="15650936" y="15859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20411</xdr:colOff>
      <xdr:row>103</xdr:row>
      <xdr:rowOff>76200</xdr:rowOff>
    </xdr:from>
    <xdr:to>
      <xdr:col>73</xdr:col>
      <xdr:colOff>20411</xdr:colOff>
      <xdr:row>103</xdr:row>
      <xdr:rowOff>76200</xdr:rowOff>
    </xdr:to>
    <xdr:cxnSp macro="">
      <xdr:nvCxnSpPr>
        <xdr:cNvPr id="23016" name="직선 화살표 연결선 23015">
          <a:extLst>
            <a:ext uri="{FF2B5EF4-FFF2-40B4-BE49-F238E27FC236}">
              <a16:creationId xmlns:a16="http://schemas.microsoft.com/office/drawing/2014/main" id="{36EA4DEA-8006-4911-8F54-8AFD5493B9EC}"/>
            </a:ext>
          </a:extLst>
        </xdr:cNvPr>
        <xdr:cNvCxnSpPr/>
      </xdr:nvCxnSpPr>
      <xdr:spPr>
        <a:xfrm>
          <a:off x="15650936" y="1591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20411</xdr:colOff>
      <xdr:row>102</xdr:row>
      <xdr:rowOff>19050</xdr:rowOff>
    </xdr:from>
    <xdr:to>
      <xdr:col>72</xdr:col>
      <xdr:colOff>123734</xdr:colOff>
      <xdr:row>102</xdr:row>
      <xdr:rowOff>133350</xdr:rowOff>
    </xdr:to>
    <xdr:sp macro="" textlink="">
      <xdr:nvSpPr>
        <xdr:cNvPr id="23017" name="99">
          <a:extLst>
            <a:ext uri="{FF2B5EF4-FFF2-40B4-BE49-F238E27FC236}">
              <a16:creationId xmlns:a16="http://schemas.microsoft.com/office/drawing/2014/main" id="{040F665C-BEFD-4435-93FB-CAD20AF1EA78}"/>
            </a:ext>
          </a:extLst>
        </xdr:cNvPr>
        <xdr:cNvSpPr/>
      </xdr:nvSpPr>
      <xdr:spPr>
        <a:xfrm>
          <a:off x="15365186" y="15706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20411</xdr:colOff>
      <xdr:row>102</xdr:row>
      <xdr:rowOff>76200</xdr:rowOff>
    </xdr:from>
    <xdr:to>
      <xdr:col>71</xdr:col>
      <xdr:colOff>20411</xdr:colOff>
      <xdr:row>102</xdr:row>
      <xdr:rowOff>76200</xdr:rowOff>
    </xdr:to>
    <xdr:cxnSp macro="">
      <xdr:nvCxnSpPr>
        <xdr:cNvPr id="23018" name="직선 화살표 연결선 23017">
          <a:extLst>
            <a:ext uri="{FF2B5EF4-FFF2-40B4-BE49-F238E27FC236}">
              <a16:creationId xmlns:a16="http://schemas.microsoft.com/office/drawing/2014/main" id="{FF72510D-9553-4550-8878-E89989902B61}"/>
            </a:ext>
          </a:extLst>
        </xdr:cNvPr>
        <xdr:cNvCxnSpPr/>
      </xdr:nvCxnSpPr>
      <xdr:spPr>
        <a:xfrm>
          <a:off x="15365186" y="1576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20411</xdr:colOff>
      <xdr:row>101</xdr:row>
      <xdr:rowOff>19050</xdr:rowOff>
    </xdr:from>
    <xdr:to>
      <xdr:col>70</xdr:col>
      <xdr:colOff>123734</xdr:colOff>
      <xdr:row>101</xdr:row>
      <xdr:rowOff>133350</xdr:rowOff>
    </xdr:to>
    <xdr:sp macro="" textlink="">
      <xdr:nvSpPr>
        <xdr:cNvPr id="23019" name="98">
          <a:extLst>
            <a:ext uri="{FF2B5EF4-FFF2-40B4-BE49-F238E27FC236}">
              <a16:creationId xmlns:a16="http://schemas.microsoft.com/office/drawing/2014/main" id="{39D12CE3-DF31-45D1-ADCE-EAA6BFAB9B74}"/>
            </a:ext>
          </a:extLst>
        </xdr:cNvPr>
        <xdr:cNvSpPr/>
      </xdr:nvSpPr>
      <xdr:spPr>
        <a:xfrm>
          <a:off x="15079436" y="15554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20411</xdr:colOff>
      <xdr:row>101</xdr:row>
      <xdr:rowOff>76200</xdr:rowOff>
    </xdr:from>
    <xdr:to>
      <xdr:col>69</xdr:col>
      <xdr:colOff>20411</xdr:colOff>
      <xdr:row>101</xdr:row>
      <xdr:rowOff>76200</xdr:rowOff>
    </xdr:to>
    <xdr:cxnSp macro="">
      <xdr:nvCxnSpPr>
        <xdr:cNvPr id="23020" name="직선 화살표 연결선 23019">
          <a:extLst>
            <a:ext uri="{FF2B5EF4-FFF2-40B4-BE49-F238E27FC236}">
              <a16:creationId xmlns:a16="http://schemas.microsoft.com/office/drawing/2014/main" id="{313410C0-0128-48D5-AD1C-800C19F23266}"/>
            </a:ext>
          </a:extLst>
        </xdr:cNvPr>
        <xdr:cNvCxnSpPr/>
      </xdr:nvCxnSpPr>
      <xdr:spPr>
        <a:xfrm>
          <a:off x="15079436" y="1561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100</xdr:row>
      <xdr:rowOff>19050</xdr:rowOff>
    </xdr:from>
    <xdr:to>
      <xdr:col>68</xdr:col>
      <xdr:colOff>123734</xdr:colOff>
      <xdr:row>100</xdr:row>
      <xdr:rowOff>133350</xdr:rowOff>
    </xdr:to>
    <xdr:sp macro="" textlink="">
      <xdr:nvSpPr>
        <xdr:cNvPr id="23021" name="97">
          <a:extLst>
            <a:ext uri="{FF2B5EF4-FFF2-40B4-BE49-F238E27FC236}">
              <a16:creationId xmlns:a16="http://schemas.microsoft.com/office/drawing/2014/main" id="{C26BABEB-2209-4493-8D77-F3BFE2D30A3C}"/>
            </a:ext>
          </a:extLst>
        </xdr:cNvPr>
        <xdr:cNvSpPr/>
      </xdr:nvSpPr>
      <xdr:spPr>
        <a:xfrm>
          <a:off x="14793686" y="15401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100</xdr:row>
      <xdr:rowOff>76200</xdr:rowOff>
    </xdr:from>
    <xdr:to>
      <xdr:col>67</xdr:col>
      <xdr:colOff>20411</xdr:colOff>
      <xdr:row>100</xdr:row>
      <xdr:rowOff>76200</xdr:rowOff>
    </xdr:to>
    <xdr:cxnSp macro="">
      <xdr:nvCxnSpPr>
        <xdr:cNvPr id="23022" name="직선 화살표 연결선 23021">
          <a:extLst>
            <a:ext uri="{FF2B5EF4-FFF2-40B4-BE49-F238E27FC236}">
              <a16:creationId xmlns:a16="http://schemas.microsoft.com/office/drawing/2014/main" id="{4FBD1782-A0A7-44A9-8B5B-B58FACD13016}"/>
            </a:ext>
          </a:extLst>
        </xdr:cNvPr>
        <xdr:cNvCxnSpPr/>
      </xdr:nvCxnSpPr>
      <xdr:spPr>
        <a:xfrm>
          <a:off x="14793686" y="1545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99</xdr:row>
      <xdr:rowOff>19050</xdr:rowOff>
    </xdr:from>
    <xdr:to>
      <xdr:col>66</xdr:col>
      <xdr:colOff>123734</xdr:colOff>
      <xdr:row>99</xdr:row>
      <xdr:rowOff>133350</xdr:rowOff>
    </xdr:to>
    <xdr:sp macro="" textlink="">
      <xdr:nvSpPr>
        <xdr:cNvPr id="23023" name="96">
          <a:extLst>
            <a:ext uri="{FF2B5EF4-FFF2-40B4-BE49-F238E27FC236}">
              <a16:creationId xmlns:a16="http://schemas.microsoft.com/office/drawing/2014/main" id="{12DAD94D-D796-4037-84B0-038C7C96C3DA}"/>
            </a:ext>
          </a:extLst>
        </xdr:cNvPr>
        <xdr:cNvSpPr/>
      </xdr:nvSpPr>
      <xdr:spPr>
        <a:xfrm>
          <a:off x="14507936" y="15249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99</xdr:row>
      <xdr:rowOff>76200</xdr:rowOff>
    </xdr:from>
    <xdr:to>
      <xdr:col>65</xdr:col>
      <xdr:colOff>20411</xdr:colOff>
      <xdr:row>99</xdr:row>
      <xdr:rowOff>76200</xdr:rowOff>
    </xdr:to>
    <xdr:cxnSp macro="">
      <xdr:nvCxnSpPr>
        <xdr:cNvPr id="23024" name="직선 화살표 연결선 23023">
          <a:extLst>
            <a:ext uri="{FF2B5EF4-FFF2-40B4-BE49-F238E27FC236}">
              <a16:creationId xmlns:a16="http://schemas.microsoft.com/office/drawing/2014/main" id="{3F06BB17-00BC-44B1-B514-B0ABA5EF90E4}"/>
            </a:ext>
          </a:extLst>
        </xdr:cNvPr>
        <xdr:cNvCxnSpPr/>
      </xdr:nvCxnSpPr>
      <xdr:spPr>
        <a:xfrm>
          <a:off x="14507936" y="1530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98</xdr:row>
      <xdr:rowOff>19050</xdr:rowOff>
    </xdr:from>
    <xdr:to>
      <xdr:col>64</xdr:col>
      <xdr:colOff>123734</xdr:colOff>
      <xdr:row>98</xdr:row>
      <xdr:rowOff>133350</xdr:rowOff>
    </xdr:to>
    <xdr:sp macro="" textlink="">
      <xdr:nvSpPr>
        <xdr:cNvPr id="23025" name="95">
          <a:extLst>
            <a:ext uri="{FF2B5EF4-FFF2-40B4-BE49-F238E27FC236}">
              <a16:creationId xmlns:a16="http://schemas.microsoft.com/office/drawing/2014/main" id="{53757E16-AB4B-4C74-ACD9-F1BA86CFE7EC}"/>
            </a:ext>
          </a:extLst>
        </xdr:cNvPr>
        <xdr:cNvSpPr/>
      </xdr:nvSpPr>
      <xdr:spPr>
        <a:xfrm>
          <a:off x="14222186" y="15097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98</xdr:row>
      <xdr:rowOff>76200</xdr:rowOff>
    </xdr:from>
    <xdr:to>
      <xdr:col>63</xdr:col>
      <xdr:colOff>20411</xdr:colOff>
      <xdr:row>98</xdr:row>
      <xdr:rowOff>76200</xdr:rowOff>
    </xdr:to>
    <xdr:cxnSp macro="">
      <xdr:nvCxnSpPr>
        <xdr:cNvPr id="23026" name="직선 화살표 연결선 23025">
          <a:extLst>
            <a:ext uri="{FF2B5EF4-FFF2-40B4-BE49-F238E27FC236}">
              <a16:creationId xmlns:a16="http://schemas.microsoft.com/office/drawing/2014/main" id="{9754C507-7756-4C3D-BD6E-C15859DAD0C7}"/>
            </a:ext>
          </a:extLst>
        </xdr:cNvPr>
        <xdr:cNvCxnSpPr/>
      </xdr:nvCxnSpPr>
      <xdr:spPr>
        <a:xfrm>
          <a:off x="14222186" y="1515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97</xdr:row>
      <xdr:rowOff>19050</xdr:rowOff>
    </xdr:from>
    <xdr:to>
      <xdr:col>62</xdr:col>
      <xdr:colOff>123734</xdr:colOff>
      <xdr:row>97</xdr:row>
      <xdr:rowOff>133350</xdr:rowOff>
    </xdr:to>
    <xdr:sp macro="" textlink="">
      <xdr:nvSpPr>
        <xdr:cNvPr id="23027" name="94">
          <a:extLst>
            <a:ext uri="{FF2B5EF4-FFF2-40B4-BE49-F238E27FC236}">
              <a16:creationId xmlns:a16="http://schemas.microsoft.com/office/drawing/2014/main" id="{B8267683-198D-46C7-A218-6FC4DA76FACC}"/>
            </a:ext>
          </a:extLst>
        </xdr:cNvPr>
        <xdr:cNvSpPr/>
      </xdr:nvSpPr>
      <xdr:spPr>
        <a:xfrm>
          <a:off x="13936436" y="14944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97</xdr:row>
      <xdr:rowOff>76200</xdr:rowOff>
    </xdr:from>
    <xdr:to>
      <xdr:col>61</xdr:col>
      <xdr:colOff>20411</xdr:colOff>
      <xdr:row>97</xdr:row>
      <xdr:rowOff>76200</xdr:rowOff>
    </xdr:to>
    <xdr:cxnSp macro="">
      <xdr:nvCxnSpPr>
        <xdr:cNvPr id="23028" name="직선 화살표 연결선 23027">
          <a:extLst>
            <a:ext uri="{FF2B5EF4-FFF2-40B4-BE49-F238E27FC236}">
              <a16:creationId xmlns:a16="http://schemas.microsoft.com/office/drawing/2014/main" id="{28FC6310-F10C-41E6-9307-100C94E5B39D}"/>
            </a:ext>
          </a:extLst>
        </xdr:cNvPr>
        <xdr:cNvCxnSpPr/>
      </xdr:nvCxnSpPr>
      <xdr:spPr>
        <a:xfrm>
          <a:off x="13936436" y="1500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96</xdr:row>
      <xdr:rowOff>19050</xdr:rowOff>
    </xdr:from>
    <xdr:to>
      <xdr:col>82</xdr:col>
      <xdr:colOff>123734</xdr:colOff>
      <xdr:row>96</xdr:row>
      <xdr:rowOff>133350</xdr:rowOff>
    </xdr:to>
    <xdr:sp macro="" textlink="">
      <xdr:nvSpPr>
        <xdr:cNvPr id="23029" name="0">
          <a:extLst>
            <a:ext uri="{FF2B5EF4-FFF2-40B4-BE49-F238E27FC236}">
              <a16:creationId xmlns:a16="http://schemas.microsoft.com/office/drawing/2014/main" id="{4FE536CF-85B4-46EC-A2A6-37A1F9EB59DD}"/>
            </a:ext>
          </a:extLst>
        </xdr:cNvPr>
        <xdr:cNvSpPr/>
      </xdr:nvSpPr>
      <xdr:spPr>
        <a:xfrm>
          <a:off x="13936436" y="14792325"/>
          <a:ext cx="3103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96</xdr:row>
      <xdr:rowOff>76200</xdr:rowOff>
    </xdr:from>
    <xdr:to>
      <xdr:col>61</xdr:col>
      <xdr:colOff>20411</xdr:colOff>
      <xdr:row>96</xdr:row>
      <xdr:rowOff>76200</xdr:rowOff>
    </xdr:to>
    <xdr:cxnSp macro="">
      <xdr:nvCxnSpPr>
        <xdr:cNvPr id="23030" name="직선 화살표 연결선 23029">
          <a:extLst>
            <a:ext uri="{FF2B5EF4-FFF2-40B4-BE49-F238E27FC236}">
              <a16:creationId xmlns:a16="http://schemas.microsoft.com/office/drawing/2014/main" id="{6BE23096-A3E2-44E5-9C35-C38CEBB5D868}"/>
            </a:ext>
          </a:extLst>
        </xdr:cNvPr>
        <xdr:cNvCxnSpPr/>
      </xdr:nvCxnSpPr>
      <xdr:spPr>
        <a:xfrm>
          <a:off x="13936436" y="1484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95</xdr:row>
      <xdr:rowOff>19050</xdr:rowOff>
    </xdr:from>
    <xdr:to>
      <xdr:col>60</xdr:col>
      <xdr:colOff>123734</xdr:colOff>
      <xdr:row>95</xdr:row>
      <xdr:rowOff>133350</xdr:rowOff>
    </xdr:to>
    <xdr:sp macro="" textlink="">
      <xdr:nvSpPr>
        <xdr:cNvPr id="23031" name="92">
          <a:extLst>
            <a:ext uri="{FF2B5EF4-FFF2-40B4-BE49-F238E27FC236}">
              <a16:creationId xmlns:a16="http://schemas.microsoft.com/office/drawing/2014/main" id="{7E12C979-A841-4894-88D8-5FAEDA61CB58}"/>
            </a:ext>
          </a:extLst>
        </xdr:cNvPr>
        <xdr:cNvSpPr/>
      </xdr:nvSpPr>
      <xdr:spPr>
        <a:xfrm>
          <a:off x="13650686" y="14639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95</xdr:row>
      <xdr:rowOff>76200</xdr:rowOff>
    </xdr:from>
    <xdr:to>
      <xdr:col>59</xdr:col>
      <xdr:colOff>20411</xdr:colOff>
      <xdr:row>95</xdr:row>
      <xdr:rowOff>76200</xdr:rowOff>
    </xdr:to>
    <xdr:cxnSp macro="">
      <xdr:nvCxnSpPr>
        <xdr:cNvPr id="23032" name="직선 화살표 연결선 23031">
          <a:extLst>
            <a:ext uri="{FF2B5EF4-FFF2-40B4-BE49-F238E27FC236}">
              <a16:creationId xmlns:a16="http://schemas.microsoft.com/office/drawing/2014/main" id="{FE5432CE-BD6C-4478-82CF-A942715A0A20}"/>
            </a:ext>
          </a:extLst>
        </xdr:cNvPr>
        <xdr:cNvCxnSpPr/>
      </xdr:nvCxnSpPr>
      <xdr:spPr>
        <a:xfrm>
          <a:off x="13650686" y="1469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94</xdr:row>
      <xdr:rowOff>19050</xdr:rowOff>
    </xdr:from>
    <xdr:to>
      <xdr:col>58</xdr:col>
      <xdr:colOff>123734</xdr:colOff>
      <xdr:row>94</xdr:row>
      <xdr:rowOff>133350</xdr:rowOff>
    </xdr:to>
    <xdr:sp macro="" textlink="">
      <xdr:nvSpPr>
        <xdr:cNvPr id="23034" name="91">
          <a:extLst>
            <a:ext uri="{FF2B5EF4-FFF2-40B4-BE49-F238E27FC236}">
              <a16:creationId xmlns:a16="http://schemas.microsoft.com/office/drawing/2014/main" id="{CD815501-7C16-422E-8CF8-4A9D47BE9744}"/>
            </a:ext>
          </a:extLst>
        </xdr:cNvPr>
        <xdr:cNvSpPr/>
      </xdr:nvSpPr>
      <xdr:spPr>
        <a:xfrm>
          <a:off x="13364936" y="14487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94</xdr:row>
      <xdr:rowOff>76200</xdr:rowOff>
    </xdr:from>
    <xdr:to>
      <xdr:col>57</xdr:col>
      <xdr:colOff>20411</xdr:colOff>
      <xdr:row>94</xdr:row>
      <xdr:rowOff>76200</xdr:rowOff>
    </xdr:to>
    <xdr:cxnSp macro="">
      <xdr:nvCxnSpPr>
        <xdr:cNvPr id="23035" name="직선 화살표 연결선 23034">
          <a:extLst>
            <a:ext uri="{FF2B5EF4-FFF2-40B4-BE49-F238E27FC236}">
              <a16:creationId xmlns:a16="http://schemas.microsoft.com/office/drawing/2014/main" id="{9ECCEFFC-424B-49C4-B100-7026523436AF}"/>
            </a:ext>
          </a:extLst>
        </xdr:cNvPr>
        <xdr:cNvCxnSpPr/>
      </xdr:nvCxnSpPr>
      <xdr:spPr>
        <a:xfrm>
          <a:off x="13364936" y="1454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93</xdr:row>
      <xdr:rowOff>19050</xdr:rowOff>
    </xdr:from>
    <xdr:to>
      <xdr:col>60</xdr:col>
      <xdr:colOff>123734</xdr:colOff>
      <xdr:row>93</xdr:row>
      <xdr:rowOff>133350</xdr:rowOff>
    </xdr:to>
    <xdr:sp macro="" textlink="">
      <xdr:nvSpPr>
        <xdr:cNvPr id="23036" name="90">
          <a:extLst>
            <a:ext uri="{FF2B5EF4-FFF2-40B4-BE49-F238E27FC236}">
              <a16:creationId xmlns:a16="http://schemas.microsoft.com/office/drawing/2014/main" id="{C1A22032-A355-47AB-BCCB-0DF028F74EA4}"/>
            </a:ext>
          </a:extLst>
        </xdr:cNvPr>
        <xdr:cNvSpPr/>
      </xdr:nvSpPr>
      <xdr:spPr>
        <a:xfrm>
          <a:off x="13364936" y="143351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93</xdr:row>
      <xdr:rowOff>76200</xdr:rowOff>
    </xdr:from>
    <xdr:to>
      <xdr:col>57</xdr:col>
      <xdr:colOff>20411</xdr:colOff>
      <xdr:row>93</xdr:row>
      <xdr:rowOff>76200</xdr:rowOff>
    </xdr:to>
    <xdr:cxnSp macro="">
      <xdr:nvCxnSpPr>
        <xdr:cNvPr id="23037" name="직선 화살표 연결선 23036">
          <a:extLst>
            <a:ext uri="{FF2B5EF4-FFF2-40B4-BE49-F238E27FC236}">
              <a16:creationId xmlns:a16="http://schemas.microsoft.com/office/drawing/2014/main" id="{65BA1047-21F9-48A8-8B2D-AD0FD13B30B8}"/>
            </a:ext>
          </a:extLst>
        </xdr:cNvPr>
        <xdr:cNvCxnSpPr/>
      </xdr:nvCxnSpPr>
      <xdr:spPr>
        <a:xfrm>
          <a:off x="13364936" y="1439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92</xdr:row>
      <xdr:rowOff>19050</xdr:rowOff>
    </xdr:from>
    <xdr:to>
      <xdr:col>60</xdr:col>
      <xdr:colOff>123734</xdr:colOff>
      <xdr:row>92</xdr:row>
      <xdr:rowOff>133350</xdr:rowOff>
    </xdr:to>
    <xdr:sp macro="" textlink="">
      <xdr:nvSpPr>
        <xdr:cNvPr id="23039" name="89">
          <a:extLst>
            <a:ext uri="{FF2B5EF4-FFF2-40B4-BE49-F238E27FC236}">
              <a16:creationId xmlns:a16="http://schemas.microsoft.com/office/drawing/2014/main" id="{FDA4D447-0749-4FD0-B9B5-EA84E42168AA}"/>
            </a:ext>
          </a:extLst>
        </xdr:cNvPr>
        <xdr:cNvSpPr/>
      </xdr:nvSpPr>
      <xdr:spPr>
        <a:xfrm>
          <a:off x="13650686" y="14182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92</xdr:row>
      <xdr:rowOff>76200</xdr:rowOff>
    </xdr:from>
    <xdr:to>
      <xdr:col>59</xdr:col>
      <xdr:colOff>20411</xdr:colOff>
      <xdr:row>92</xdr:row>
      <xdr:rowOff>76200</xdr:rowOff>
    </xdr:to>
    <xdr:cxnSp macro="">
      <xdr:nvCxnSpPr>
        <xdr:cNvPr id="30628" name="직선 화살표 연결선 30627">
          <a:extLst>
            <a:ext uri="{FF2B5EF4-FFF2-40B4-BE49-F238E27FC236}">
              <a16:creationId xmlns:a16="http://schemas.microsoft.com/office/drawing/2014/main" id="{5AE71849-7489-4B29-92B7-E9AC20DA558D}"/>
            </a:ext>
          </a:extLst>
        </xdr:cNvPr>
        <xdr:cNvCxnSpPr/>
      </xdr:nvCxnSpPr>
      <xdr:spPr>
        <a:xfrm>
          <a:off x="13650686" y="1423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91</xdr:row>
      <xdr:rowOff>19050</xdr:rowOff>
    </xdr:from>
    <xdr:to>
      <xdr:col>58</xdr:col>
      <xdr:colOff>123734</xdr:colOff>
      <xdr:row>91</xdr:row>
      <xdr:rowOff>133350</xdr:rowOff>
    </xdr:to>
    <xdr:sp macro="" textlink="">
      <xdr:nvSpPr>
        <xdr:cNvPr id="30629" name="88">
          <a:extLst>
            <a:ext uri="{FF2B5EF4-FFF2-40B4-BE49-F238E27FC236}">
              <a16:creationId xmlns:a16="http://schemas.microsoft.com/office/drawing/2014/main" id="{381BD6D4-0FFE-439C-9116-1272C9F9DFAC}"/>
            </a:ext>
          </a:extLst>
        </xdr:cNvPr>
        <xdr:cNvSpPr/>
      </xdr:nvSpPr>
      <xdr:spPr>
        <a:xfrm>
          <a:off x="13364936" y="14030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91</xdr:row>
      <xdr:rowOff>76200</xdr:rowOff>
    </xdr:from>
    <xdr:to>
      <xdr:col>57</xdr:col>
      <xdr:colOff>20411</xdr:colOff>
      <xdr:row>91</xdr:row>
      <xdr:rowOff>76200</xdr:rowOff>
    </xdr:to>
    <xdr:cxnSp macro="">
      <xdr:nvCxnSpPr>
        <xdr:cNvPr id="30630" name="직선 화살표 연결선 30629">
          <a:extLst>
            <a:ext uri="{FF2B5EF4-FFF2-40B4-BE49-F238E27FC236}">
              <a16:creationId xmlns:a16="http://schemas.microsoft.com/office/drawing/2014/main" id="{69F518F5-081A-4FD2-B606-FCCFC06A2E77}"/>
            </a:ext>
          </a:extLst>
        </xdr:cNvPr>
        <xdr:cNvCxnSpPr/>
      </xdr:nvCxnSpPr>
      <xdr:spPr>
        <a:xfrm>
          <a:off x="13364936" y="1408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90</xdr:row>
      <xdr:rowOff>19050</xdr:rowOff>
    </xdr:from>
    <xdr:to>
      <xdr:col>56</xdr:col>
      <xdr:colOff>123734</xdr:colOff>
      <xdr:row>90</xdr:row>
      <xdr:rowOff>133350</xdr:rowOff>
    </xdr:to>
    <xdr:sp macro="" textlink="">
      <xdr:nvSpPr>
        <xdr:cNvPr id="30631" name="87">
          <a:extLst>
            <a:ext uri="{FF2B5EF4-FFF2-40B4-BE49-F238E27FC236}">
              <a16:creationId xmlns:a16="http://schemas.microsoft.com/office/drawing/2014/main" id="{FF98B7CF-265E-49B0-9375-39809F623F56}"/>
            </a:ext>
          </a:extLst>
        </xdr:cNvPr>
        <xdr:cNvSpPr/>
      </xdr:nvSpPr>
      <xdr:spPr>
        <a:xfrm>
          <a:off x="13079186" y="13877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90</xdr:row>
      <xdr:rowOff>76200</xdr:rowOff>
    </xdr:from>
    <xdr:to>
      <xdr:col>55</xdr:col>
      <xdr:colOff>20411</xdr:colOff>
      <xdr:row>90</xdr:row>
      <xdr:rowOff>76200</xdr:rowOff>
    </xdr:to>
    <xdr:cxnSp macro="">
      <xdr:nvCxnSpPr>
        <xdr:cNvPr id="30632" name="직선 화살표 연결선 30631">
          <a:extLst>
            <a:ext uri="{FF2B5EF4-FFF2-40B4-BE49-F238E27FC236}">
              <a16:creationId xmlns:a16="http://schemas.microsoft.com/office/drawing/2014/main" id="{F8243134-2F8D-43A6-99BB-7503C0E6D01B}"/>
            </a:ext>
          </a:extLst>
        </xdr:cNvPr>
        <xdr:cNvCxnSpPr/>
      </xdr:nvCxnSpPr>
      <xdr:spPr>
        <a:xfrm>
          <a:off x="13079186" y="1393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89</xdr:row>
      <xdr:rowOff>19050</xdr:rowOff>
    </xdr:from>
    <xdr:to>
      <xdr:col>54</xdr:col>
      <xdr:colOff>123734</xdr:colOff>
      <xdr:row>89</xdr:row>
      <xdr:rowOff>133350</xdr:rowOff>
    </xdr:to>
    <xdr:sp macro="" textlink="">
      <xdr:nvSpPr>
        <xdr:cNvPr id="30633" name="86">
          <a:extLst>
            <a:ext uri="{FF2B5EF4-FFF2-40B4-BE49-F238E27FC236}">
              <a16:creationId xmlns:a16="http://schemas.microsoft.com/office/drawing/2014/main" id="{AD11DF46-8697-40CF-9922-87B0DD6F972E}"/>
            </a:ext>
          </a:extLst>
        </xdr:cNvPr>
        <xdr:cNvSpPr/>
      </xdr:nvSpPr>
      <xdr:spPr>
        <a:xfrm>
          <a:off x="12793435" y="13725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89</xdr:row>
      <xdr:rowOff>76200</xdr:rowOff>
    </xdr:from>
    <xdr:to>
      <xdr:col>53</xdr:col>
      <xdr:colOff>20410</xdr:colOff>
      <xdr:row>89</xdr:row>
      <xdr:rowOff>76200</xdr:rowOff>
    </xdr:to>
    <xdr:cxnSp macro="">
      <xdr:nvCxnSpPr>
        <xdr:cNvPr id="30634" name="직선 화살표 연결선 30633">
          <a:extLst>
            <a:ext uri="{FF2B5EF4-FFF2-40B4-BE49-F238E27FC236}">
              <a16:creationId xmlns:a16="http://schemas.microsoft.com/office/drawing/2014/main" id="{668C9ADD-BCEA-4E21-9A0B-A4AC7C153A64}"/>
            </a:ext>
          </a:extLst>
        </xdr:cNvPr>
        <xdr:cNvCxnSpPr/>
      </xdr:nvCxnSpPr>
      <xdr:spPr>
        <a:xfrm>
          <a:off x="12793435" y="1378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20410</xdr:colOff>
      <xdr:row>88</xdr:row>
      <xdr:rowOff>19050</xdr:rowOff>
    </xdr:from>
    <xdr:to>
      <xdr:col>52</xdr:col>
      <xdr:colOff>123734</xdr:colOff>
      <xdr:row>88</xdr:row>
      <xdr:rowOff>133350</xdr:rowOff>
    </xdr:to>
    <xdr:sp macro="" textlink="">
      <xdr:nvSpPr>
        <xdr:cNvPr id="30635" name="85">
          <a:extLst>
            <a:ext uri="{FF2B5EF4-FFF2-40B4-BE49-F238E27FC236}">
              <a16:creationId xmlns:a16="http://schemas.microsoft.com/office/drawing/2014/main" id="{9A457D80-EF25-4C3B-B448-3ECF6E4F0F73}"/>
            </a:ext>
          </a:extLst>
        </xdr:cNvPr>
        <xdr:cNvSpPr/>
      </xdr:nvSpPr>
      <xdr:spPr>
        <a:xfrm>
          <a:off x="12507685" y="13573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20410</xdr:colOff>
      <xdr:row>88</xdr:row>
      <xdr:rowOff>76200</xdr:rowOff>
    </xdr:from>
    <xdr:to>
      <xdr:col>51</xdr:col>
      <xdr:colOff>20410</xdr:colOff>
      <xdr:row>88</xdr:row>
      <xdr:rowOff>76200</xdr:rowOff>
    </xdr:to>
    <xdr:cxnSp macro="">
      <xdr:nvCxnSpPr>
        <xdr:cNvPr id="30636" name="직선 화살표 연결선 30635">
          <a:extLst>
            <a:ext uri="{FF2B5EF4-FFF2-40B4-BE49-F238E27FC236}">
              <a16:creationId xmlns:a16="http://schemas.microsoft.com/office/drawing/2014/main" id="{A48338EA-2603-48EC-9FE2-E8DFD63E7DF8}"/>
            </a:ext>
          </a:extLst>
        </xdr:cNvPr>
        <xdr:cNvCxnSpPr/>
      </xdr:nvCxnSpPr>
      <xdr:spPr>
        <a:xfrm>
          <a:off x="12507685" y="1363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87</xdr:row>
      <xdr:rowOff>19050</xdr:rowOff>
    </xdr:from>
    <xdr:to>
      <xdr:col>50</xdr:col>
      <xdr:colOff>123734</xdr:colOff>
      <xdr:row>87</xdr:row>
      <xdr:rowOff>133350</xdr:rowOff>
    </xdr:to>
    <xdr:sp macro="" textlink="">
      <xdr:nvSpPr>
        <xdr:cNvPr id="30637" name="84">
          <a:extLst>
            <a:ext uri="{FF2B5EF4-FFF2-40B4-BE49-F238E27FC236}">
              <a16:creationId xmlns:a16="http://schemas.microsoft.com/office/drawing/2014/main" id="{3240D265-213E-4496-9C94-F506AAD8F7CE}"/>
            </a:ext>
          </a:extLst>
        </xdr:cNvPr>
        <xdr:cNvSpPr/>
      </xdr:nvSpPr>
      <xdr:spPr>
        <a:xfrm>
          <a:off x="12221935" y="13420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87</xdr:row>
      <xdr:rowOff>76200</xdr:rowOff>
    </xdr:from>
    <xdr:to>
      <xdr:col>49</xdr:col>
      <xdr:colOff>20410</xdr:colOff>
      <xdr:row>87</xdr:row>
      <xdr:rowOff>76200</xdr:rowOff>
    </xdr:to>
    <xdr:cxnSp macro="">
      <xdr:nvCxnSpPr>
        <xdr:cNvPr id="30638" name="직선 화살표 연결선 30637">
          <a:extLst>
            <a:ext uri="{FF2B5EF4-FFF2-40B4-BE49-F238E27FC236}">
              <a16:creationId xmlns:a16="http://schemas.microsoft.com/office/drawing/2014/main" id="{3860B143-0E99-4E1F-B173-D8E8C3FBA71E}"/>
            </a:ext>
          </a:extLst>
        </xdr:cNvPr>
        <xdr:cNvCxnSpPr/>
      </xdr:nvCxnSpPr>
      <xdr:spPr>
        <a:xfrm>
          <a:off x="12221935" y="1347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86</xdr:row>
      <xdr:rowOff>19050</xdr:rowOff>
    </xdr:from>
    <xdr:to>
      <xdr:col>48</xdr:col>
      <xdr:colOff>123734</xdr:colOff>
      <xdr:row>86</xdr:row>
      <xdr:rowOff>133350</xdr:rowOff>
    </xdr:to>
    <xdr:sp macro="" textlink="">
      <xdr:nvSpPr>
        <xdr:cNvPr id="30639" name="83">
          <a:extLst>
            <a:ext uri="{FF2B5EF4-FFF2-40B4-BE49-F238E27FC236}">
              <a16:creationId xmlns:a16="http://schemas.microsoft.com/office/drawing/2014/main" id="{B3056E56-1C3A-4162-9B94-99B172DA1E83}"/>
            </a:ext>
          </a:extLst>
        </xdr:cNvPr>
        <xdr:cNvSpPr/>
      </xdr:nvSpPr>
      <xdr:spPr>
        <a:xfrm>
          <a:off x="11936185" y="13268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86</xdr:row>
      <xdr:rowOff>76200</xdr:rowOff>
    </xdr:from>
    <xdr:to>
      <xdr:col>47</xdr:col>
      <xdr:colOff>20410</xdr:colOff>
      <xdr:row>86</xdr:row>
      <xdr:rowOff>76200</xdr:rowOff>
    </xdr:to>
    <xdr:cxnSp macro="">
      <xdr:nvCxnSpPr>
        <xdr:cNvPr id="30640" name="직선 화살표 연결선 30639">
          <a:extLst>
            <a:ext uri="{FF2B5EF4-FFF2-40B4-BE49-F238E27FC236}">
              <a16:creationId xmlns:a16="http://schemas.microsoft.com/office/drawing/2014/main" id="{CDD909C5-1FCF-47F9-8B8E-B784CBA682CB}"/>
            </a:ext>
          </a:extLst>
        </xdr:cNvPr>
        <xdr:cNvCxnSpPr/>
      </xdr:nvCxnSpPr>
      <xdr:spPr>
        <a:xfrm>
          <a:off x="11936185" y="1332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85</xdr:row>
      <xdr:rowOff>19050</xdr:rowOff>
    </xdr:from>
    <xdr:to>
      <xdr:col>46</xdr:col>
      <xdr:colOff>123734</xdr:colOff>
      <xdr:row>85</xdr:row>
      <xdr:rowOff>133350</xdr:rowOff>
    </xdr:to>
    <xdr:sp macro="" textlink="">
      <xdr:nvSpPr>
        <xdr:cNvPr id="30641" name="82">
          <a:extLst>
            <a:ext uri="{FF2B5EF4-FFF2-40B4-BE49-F238E27FC236}">
              <a16:creationId xmlns:a16="http://schemas.microsoft.com/office/drawing/2014/main" id="{0CA0A722-B471-432F-AA41-D44EA7E1E2F7}"/>
            </a:ext>
          </a:extLst>
        </xdr:cNvPr>
        <xdr:cNvSpPr/>
      </xdr:nvSpPr>
      <xdr:spPr>
        <a:xfrm>
          <a:off x="11650435" y="13115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85</xdr:row>
      <xdr:rowOff>76200</xdr:rowOff>
    </xdr:from>
    <xdr:to>
      <xdr:col>45</xdr:col>
      <xdr:colOff>20410</xdr:colOff>
      <xdr:row>85</xdr:row>
      <xdr:rowOff>76200</xdr:rowOff>
    </xdr:to>
    <xdr:cxnSp macro="">
      <xdr:nvCxnSpPr>
        <xdr:cNvPr id="30642" name="직선 화살표 연결선 30641">
          <a:extLst>
            <a:ext uri="{FF2B5EF4-FFF2-40B4-BE49-F238E27FC236}">
              <a16:creationId xmlns:a16="http://schemas.microsoft.com/office/drawing/2014/main" id="{3D108AEE-3245-4364-9BA0-748FFC66F476}"/>
            </a:ext>
          </a:extLst>
        </xdr:cNvPr>
        <xdr:cNvCxnSpPr/>
      </xdr:nvCxnSpPr>
      <xdr:spPr>
        <a:xfrm>
          <a:off x="11650435" y="1317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84</xdr:row>
      <xdr:rowOff>19050</xdr:rowOff>
    </xdr:from>
    <xdr:to>
      <xdr:col>44</xdr:col>
      <xdr:colOff>123734</xdr:colOff>
      <xdr:row>84</xdr:row>
      <xdr:rowOff>133350</xdr:rowOff>
    </xdr:to>
    <xdr:sp macro="" textlink="">
      <xdr:nvSpPr>
        <xdr:cNvPr id="30643" name="81">
          <a:extLst>
            <a:ext uri="{FF2B5EF4-FFF2-40B4-BE49-F238E27FC236}">
              <a16:creationId xmlns:a16="http://schemas.microsoft.com/office/drawing/2014/main" id="{DF9F2929-84BC-4FDC-BFFD-F1104272A7A3}"/>
            </a:ext>
          </a:extLst>
        </xdr:cNvPr>
        <xdr:cNvSpPr/>
      </xdr:nvSpPr>
      <xdr:spPr>
        <a:xfrm>
          <a:off x="11364685" y="12963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84</xdr:row>
      <xdr:rowOff>76200</xdr:rowOff>
    </xdr:from>
    <xdr:to>
      <xdr:col>43</xdr:col>
      <xdr:colOff>20410</xdr:colOff>
      <xdr:row>84</xdr:row>
      <xdr:rowOff>76200</xdr:rowOff>
    </xdr:to>
    <xdr:cxnSp macro="">
      <xdr:nvCxnSpPr>
        <xdr:cNvPr id="30644" name="직선 화살표 연결선 30643">
          <a:extLst>
            <a:ext uri="{FF2B5EF4-FFF2-40B4-BE49-F238E27FC236}">
              <a16:creationId xmlns:a16="http://schemas.microsoft.com/office/drawing/2014/main" id="{04B44BC3-632F-40E2-AE7F-88500837B566}"/>
            </a:ext>
          </a:extLst>
        </xdr:cNvPr>
        <xdr:cNvCxnSpPr/>
      </xdr:nvCxnSpPr>
      <xdr:spPr>
        <a:xfrm>
          <a:off x="11364685" y="1302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83</xdr:row>
      <xdr:rowOff>19050</xdr:rowOff>
    </xdr:from>
    <xdr:to>
      <xdr:col>56</xdr:col>
      <xdr:colOff>123734</xdr:colOff>
      <xdr:row>83</xdr:row>
      <xdr:rowOff>133350</xdr:rowOff>
    </xdr:to>
    <xdr:sp macro="" textlink="">
      <xdr:nvSpPr>
        <xdr:cNvPr id="30645" name="80">
          <a:extLst>
            <a:ext uri="{FF2B5EF4-FFF2-40B4-BE49-F238E27FC236}">
              <a16:creationId xmlns:a16="http://schemas.microsoft.com/office/drawing/2014/main" id="{DDCB2676-A6F9-4EC5-96C3-37D412BF982B}"/>
            </a:ext>
          </a:extLst>
        </xdr:cNvPr>
        <xdr:cNvSpPr/>
      </xdr:nvSpPr>
      <xdr:spPr>
        <a:xfrm>
          <a:off x="13079186" y="12811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83</xdr:row>
      <xdr:rowOff>76200</xdr:rowOff>
    </xdr:from>
    <xdr:to>
      <xdr:col>55</xdr:col>
      <xdr:colOff>20411</xdr:colOff>
      <xdr:row>83</xdr:row>
      <xdr:rowOff>76200</xdr:rowOff>
    </xdr:to>
    <xdr:cxnSp macro="">
      <xdr:nvCxnSpPr>
        <xdr:cNvPr id="30646" name="직선 화살표 연결선 30645">
          <a:extLst>
            <a:ext uri="{FF2B5EF4-FFF2-40B4-BE49-F238E27FC236}">
              <a16:creationId xmlns:a16="http://schemas.microsoft.com/office/drawing/2014/main" id="{0C64780F-FA4A-4AC6-8DB6-D47CD88E43CF}"/>
            </a:ext>
          </a:extLst>
        </xdr:cNvPr>
        <xdr:cNvCxnSpPr/>
      </xdr:nvCxnSpPr>
      <xdr:spPr>
        <a:xfrm>
          <a:off x="13079186" y="1286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82</xdr:row>
      <xdr:rowOff>19050</xdr:rowOff>
    </xdr:from>
    <xdr:to>
      <xdr:col>54</xdr:col>
      <xdr:colOff>123734</xdr:colOff>
      <xdr:row>82</xdr:row>
      <xdr:rowOff>133350</xdr:rowOff>
    </xdr:to>
    <xdr:sp macro="" textlink="">
      <xdr:nvSpPr>
        <xdr:cNvPr id="30647" name="79">
          <a:extLst>
            <a:ext uri="{FF2B5EF4-FFF2-40B4-BE49-F238E27FC236}">
              <a16:creationId xmlns:a16="http://schemas.microsoft.com/office/drawing/2014/main" id="{576141BF-4128-42F0-9D3A-9EC2BE26B48B}"/>
            </a:ext>
          </a:extLst>
        </xdr:cNvPr>
        <xdr:cNvSpPr/>
      </xdr:nvSpPr>
      <xdr:spPr>
        <a:xfrm>
          <a:off x="12793435" y="12658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82</xdr:row>
      <xdr:rowOff>76200</xdr:rowOff>
    </xdr:from>
    <xdr:to>
      <xdr:col>53</xdr:col>
      <xdr:colOff>20410</xdr:colOff>
      <xdr:row>82</xdr:row>
      <xdr:rowOff>76200</xdr:rowOff>
    </xdr:to>
    <xdr:cxnSp macro="">
      <xdr:nvCxnSpPr>
        <xdr:cNvPr id="30648" name="직선 화살표 연결선 30647">
          <a:extLst>
            <a:ext uri="{FF2B5EF4-FFF2-40B4-BE49-F238E27FC236}">
              <a16:creationId xmlns:a16="http://schemas.microsoft.com/office/drawing/2014/main" id="{7CF8A1ED-9BA1-447D-943F-32436385C3B2}"/>
            </a:ext>
          </a:extLst>
        </xdr:cNvPr>
        <xdr:cNvCxnSpPr/>
      </xdr:nvCxnSpPr>
      <xdr:spPr>
        <a:xfrm>
          <a:off x="12793435"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20410</xdr:colOff>
      <xdr:row>81</xdr:row>
      <xdr:rowOff>19050</xdr:rowOff>
    </xdr:from>
    <xdr:to>
      <xdr:col>52</xdr:col>
      <xdr:colOff>123734</xdr:colOff>
      <xdr:row>81</xdr:row>
      <xdr:rowOff>133350</xdr:rowOff>
    </xdr:to>
    <xdr:sp macro="" textlink="">
      <xdr:nvSpPr>
        <xdr:cNvPr id="30649" name="78">
          <a:extLst>
            <a:ext uri="{FF2B5EF4-FFF2-40B4-BE49-F238E27FC236}">
              <a16:creationId xmlns:a16="http://schemas.microsoft.com/office/drawing/2014/main" id="{F1E57AB7-C9DA-4B44-850E-9697D17CA197}"/>
            </a:ext>
          </a:extLst>
        </xdr:cNvPr>
        <xdr:cNvSpPr/>
      </xdr:nvSpPr>
      <xdr:spPr>
        <a:xfrm>
          <a:off x="12507685" y="12506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20410</xdr:colOff>
      <xdr:row>81</xdr:row>
      <xdr:rowOff>76200</xdr:rowOff>
    </xdr:from>
    <xdr:to>
      <xdr:col>51</xdr:col>
      <xdr:colOff>20410</xdr:colOff>
      <xdr:row>81</xdr:row>
      <xdr:rowOff>76200</xdr:rowOff>
    </xdr:to>
    <xdr:cxnSp macro="">
      <xdr:nvCxnSpPr>
        <xdr:cNvPr id="30650" name="직선 화살표 연결선 30649">
          <a:extLst>
            <a:ext uri="{FF2B5EF4-FFF2-40B4-BE49-F238E27FC236}">
              <a16:creationId xmlns:a16="http://schemas.microsoft.com/office/drawing/2014/main" id="{DC9AF8C6-F642-413B-8D53-04D4203818BA}"/>
            </a:ext>
          </a:extLst>
        </xdr:cNvPr>
        <xdr:cNvCxnSpPr/>
      </xdr:nvCxnSpPr>
      <xdr:spPr>
        <a:xfrm>
          <a:off x="12507685" y="1256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80</xdr:row>
      <xdr:rowOff>19050</xdr:rowOff>
    </xdr:from>
    <xdr:to>
      <xdr:col>50</xdr:col>
      <xdr:colOff>123734</xdr:colOff>
      <xdr:row>80</xdr:row>
      <xdr:rowOff>133350</xdr:rowOff>
    </xdr:to>
    <xdr:sp macro="" textlink="">
      <xdr:nvSpPr>
        <xdr:cNvPr id="30651" name="77">
          <a:extLst>
            <a:ext uri="{FF2B5EF4-FFF2-40B4-BE49-F238E27FC236}">
              <a16:creationId xmlns:a16="http://schemas.microsoft.com/office/drawing/2014/main" id="{4B51B314-CAFE-41D0-8F2B-83A93329B61D}"/>
            </a:ext>
          </a:extLst>
        </xdr:cNvPr>
        <xdr:cNvSpPr/>
      </xdr:nvSpPr>
      <xdr:spPr>
        <a:xfrm>
          <a:off x="12221935" y="12353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80</xdr:row>
      <xdr:rowOff>76200</xdr:rowOff>
    </xdr:from>
    <xdr:to>
      <xdr:col>49</xdr:col>
      <xdr:colOff>20410</xdr:colOff>
      <xdr:row>80</xdr:row>
      <xdr:rowOff>76200</xdr:rowOff>
    </xdr:to>
    <xdr:cxnSp macro="">
      <xdr:nvCxnSpPr>
        <xdr:cNvPr id="30652" name="직선 화살표 연결선 30651">
          <a:extLst>
            <a:ext uri="{FF2B5EF4-FFF2-40B4-BE49-F238E27FC236}">
              <a16:creationId xmlns:a16="http://schemas.microsoft.com/office/drawing/2014/main" id="{DB6EBBBB-B306-447D-9B26-DC75C6F0CD78}"/>
            </a:ext>
          </a:extLst>
        </xdr:cNvPr>
        <xdr:cNvCxnSpPr/>
      </xdr:nvCxnSpPr>
      <xdr:spPr>
        <a:xfrm>
          <a:off x="12221935"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79</xdr:row>
      <xdr:rowOff>19050</xdr:rowOff>
    </xdr:from>
    <xdr:to>
      <xdr:col>48</xdr:col>
      <xdr:colOff>123734</xdr:colOff>
      <xdr:row>79</xdr:row>
      <xdr:rowOff>133350</xdr:rowOff>
    </xdr:to>
    <xdr:sp macro="" textlink="">
      <xdr:nvSpPr>
        <xdr:cNvPr id="30653" name="76">
          <a:extLst>
            <a:ext uri="{FF2B5EF4-FFF2-40B4-BE49-F238E27FC236}">
              <a16:creationId xmlns:a16="http://schemas.microsoft.com/office/drawing/2014/main" id="{5323B00D-E9EA-4539-86F0-5E058C90CD5F}"/>
            </a:ext>
          </a:extLst>
        </xdr:cNvPr>
        <xdr:cNvSpPr/>
      </xdr:nvSpPr>
      <xdr:spPr>
        <a:xfrm>
          <a:off x="11936185" y="12201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79</xdr:row>
      <xdr:rowOff>76200</xdr:rowOff>
    </xdr:from>
    <xdr:to>
      <xdr:col>47</xdr:col>
      <xdr:colOff>20410</xdr:colOff>
      <xdr:row>79</xdr:row>
      <xdr:rowOff>76200</xdr:rowOff>
    </xdr:to>
    <xdr:cxnSp macro="">
      <xdr:nvCxnSpPr>
        <xdr:cNvPr id="30654" name="직선 화살표 연결선 30653">
          <a:extLst>
            <a:ext uri="{FF2B5EF4-FFF2-40B4-BE49-F238E27FC236}">
              <a16:creationId xmlns:a16="http://schemas.microsoft.com/office/drawing/2014/main" id="{0561F33C-57BE-4BFD-9AA3-B1BDBAEC6AFC}"/>
            </a:ext>
          </a:extLst>
        </xdr:cNvPr>
        <xdr:cNvCxnSpPr/>
      </xdr:nvCxnSpPr>
      <xdr:spPr>
        <a:xfrm>
          <a:off x="11936185"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78</xdr:row>
      <xdr:rowOff>19050</xdr:rowOff>
    </xdr:from>
    <xdr:to>
      <xdr:col>46</xdr:col>
      <xdr:colOff>123734</xdr:colOff>
      <xdr:row>78</xdr:row>
      <xdr:rowOff>133350</xdr:rowOff>
    </xdr:to>
    <xdr:sp macro="" textlink="">
      <xdr:nvSpPr>
        <xdr:cNvPr id="30655" name="75">
          <a:extLst>
            <a:ext uri="{FF2B5EF4-FFF2-40B4-BE49-F238E27FC236}">
              <a16:creationId xmlns:a16="http://schemas.microsoft.com/office/drawing/2014/main" id="{04EC4516-6A63-4D3F-95D4-62485FDA7D5B}"/>
            </a:ext>
          </a:extLst>
        </xdr:cNvPr>
        <xdr:cNvSpPr/>
      </xdr:nvSpPr>
      <xdr:spPr>
        <a:xfrm>
          <a:off x="11650435" y="12049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78</xdr:row>
      <xdr:rowOff>76200</xdr:rowOff>
    </xdr:from>
    <xdr:to>
      <xdr:col>45</xdr:col>
      <xdr:colOff>20410</xdr:colOff>
      <xdr:row>78</xdr:row>
      <xdr:rowOff>76200</xdr:rowOff>
    </xdr:to>
    <xdr:cxnSp macro="">
      <xdr:nvCxnSpPr>
        <xdr:cNvPr id="3776" name="직선 화살표 연결선 3775">
          <a:extLst>
            <a:ext uri="{FF2B5EF4-FFF2-40B4-BE49-F238E27FC236}">
              <a16:creationId xmlns:a16="http://schemas.microsoft.com/office/drawing/2014/main" id="{1856B854-051E-4AAF-B37D-56A8DD5A5A0D}"/>
            </a:ext>
          </a:extLst>
        </xdr:cNvPr>
        <xdr:cNvCxnSpPr/>
      </xdr:nvCxnSpPr>
      <xdr:spPr>
        <a:xfrm>
          <a:off x="11650435" y="1210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77</xdr:row>
      <xdr:rowOff>19050</xdr:rowOff>
    </xdr:from>
    <xdr:to>
      <xdr:col>44</xdr:col>
      <xdr:colOff>123734</xdr:colOff>
      <xdr:row>77</xdr:row>
      <xdr:rowOff>133350</xdr:rowOff>
    </xdr:to>
    <xdr:sp macro="" textlink="">
      <xdr:nvSpPr>
        <xdr:cNvPr id="3777" name="74">
          <a:extLst>
            <a:ext uri="{FF2B5EF4-FFF2-40B4-BE49-F238E27FC236}">
              <a16:creationId xmlns:a16="http://schemas.microsoft.com/office/drawing/2014/main" id="{4223008E-4E8C-46BB-A39E-B6CB048C214D}"/>
            </a:ext>
          </a:extLst>
        </xdr:cNvPr>
        <xdr:cNvSpPr/>
      </xdr:nvSpPr>
      <xdr:spPr>
        <a:xfrm>
          <a:off x="11364685" y="1189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77</xdr:row>
      <xdr:rowOff>76200</xdr:rowOff>
    </xdr:from>
    <xdr:to>
      <xdr:col>43</xdr:col>
      <xdr:colOff>20410</xdr:colOff>
      <xdr:row>77</xdr:row>
      <xdr:rowOff>76200</xdr:rowOff>
    </xdr:to>
    <xdr:cxnSp macro="">
      <xdr:nvCxnSpPr>
        <xdr:cNvPr id="3778" name="직선 화살표 연결선 3777">
          <a:extLst>
            <a:ext uri="{FF2B5EF4-FFF2-40B4-BE49-F238E27FC236}">
              <a16:creationId xmlns:a16="http://schemas.microsoft.com/office/drawing/2014/main" id="{761D1622-6F16-4354-B9C5-B77B817A73BD}"/>
            </a:ext>
          </a:extLst>
        </xdr:cNvPr>
        <xdr:cNvCxnSpPr/>
      </xdr:nvCxnSpPr>
      <xdr:spPr>
        <a:xfrm>
          <a:off x="11364685" y="1195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76</xdr:row>
      <xdr:rowOff>19050</xdr:rowOff>
    </xdr:from>
    <xdr:to>
      <xdr:col>56</xdr:col>
      <xdr:colOff>123734</xdr:colOff>
      <xdr:row>76</xdr:row>
      <xdr:rowOff>133350</xdr:rowOff>
    </xdr:to>
    <xdr:sp macro="" textlink="">
      <xdr:nvSpPr>
        <xdr:cNvPr id="3779" name="73">
          <a:extLst>
            <a:ext uri="{FF2B5EF4-FFF2-40B4-BE49-F238E27FC236}">
              <a16:creationId xmlns:a16="http://schemas.microsoft.com/office/drawing/2014/main" id="{FF84A3C3-F234-4082-ADD4-F4679E64F362}"/>
            </a:ext>
          </a:extLst>
        </xdr:cNvPr>
        <xdr:cNvSpPr/>
      </xdr:nvSpPr>
      <xdr:spPr>
        <a:xfrm>
          <a:off x="13079186" y="11744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76</xdr:row>
      <xdr:rowOff>76200</xdr:rowOff>
    </xdr:from>
    <xdr:to>
      <xdr:col>55</xdr:col>
      <xdr:colOff>20411</xdr:colOff>
      <xdr:row>76</xdr:row>
      <xdr:rowOff>76200</xdr:rowOff>
    </xdr:to>
    <xdr:cxnSp macro="">
      <xdr:nvCxnSpPr>
        <xdr:cNvPr id="3780" name="직선 화살표 연결선 3779">
          <a:extLst>
            <a:ext uri="{FF2B5EF4-FFF2-40B4-BE49-F238E27FC236}">
              <a16:creationId xmlns:a16="http://schemas.microsoft.com/office/drawing/2014/main" id="{54B191EE-D71D-468D-9785-4A036136B8AD}"/>
            </a:ext>
          </a:extLst>
        </xdr:cNvPr>
        <xdr:cNvCxnSpPr/>
      </xdr:nvCxnSpPr>
      <xdr:spPr>
        <a:xfrm>
          <a:off x="13079186" y="1180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75</xdr:row>
      <xdr:rowOff>19050</xdr:rowOff>
    </xdr:from>
    <xdr:to>
      <xdr:col>54</xdr:col>
      <xdr:colOff>123734</xdr:colOff>
      <xdr:row>75</xdr:row>
      <xdr:rowOff>133350</xdr:rowOff>
    </xdr:to>
    <xdr:sp macro="" textlink="">
      <xdr:nvSpPr>
        <xdr:cNvPr id="3781" name="72">
          <a:extLst>
            <a:ext uri="{FF2B5EF4-FFF2-40B4-BE49-F238E27FC236}">
              <a16:creationId xmlns:a16="http://schemas.microsoft.com/office/drawing/2014/main" id="{14F3E12C-4309-42CD-9E6E-B61E3FDCF412}"/>
            </a:ext>
          </a:extLst>
        </xdr:cNvPr>
        <xdr:cNvSpPr/>
      </xdr:nvSpPr>
      <xdr:spPr>
        <a:xfrm>
          <a:off x="12793435" y="11591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75</xdr:row>
      <xdr:rowOff>76200</xdr:rowOff>
    </xdr:from>
    <xdr:to>
      <xdr:col>53</xdr:col>
      <xdr:colOff>20410</xdr:colOff>
      <xdr:row>75</xdr:row>
      <xdr:rowOff>76200</xdr:rowOff>
    </xdr:to>
    <xdr:cxnSp macro="">
      <xdr:nvCxnSpPr>
        <xdr:cNvPr id="3782" name="직선 화살표 연결선 3781">
          <a:extLst>
            <a:ext uri="{FF2B5EF4-FFF2-40B4-BE49-F238E27FC236}">
              <a16:creationId xmlns:a16="http://schemas.microsoft.com/office/drawing/2014/main" id="{488F47CE-B5E6-467D-A373-9E1D0B79450C}"/>
            </a:ext>
          </a:extLst>
        </xdr:cNvPr>
        <xdr:cNvCxnSpPr/>
      </xdr:nvCxnSpPr>
      <xdr:spPr>
        <a:xfrm>
          <a:off x="12793435" y="1164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20410</xdr:colOff>
      <xdr:row>74</xdr:row>
      <xdr:rowOff>19050</xdr:rowOff>
    </xdr:from>
    <xdr:to>
      <xdr:col>52</xdr:col>
      <xdr:colOff>123734</xdr:colOff>
      <xdr:row>74</xdr:row>
      <xdr:rowOff>133350</xdr:rowOff>
    </xdr:to>
    <xdr:sp macro="" textlink="">
      <xdr:nvSpPr>
        <xdr:cNvPr id="3783" name="71">
          <a:extLst>
            <a:ext uri="{FF2B5EF4-FFF2-40B4-BE49-F238E27FC236}">
              <a16:creationId xmlns:a16="http://schemas.microsoft.com/office/drawing/2014/main" id="{D94D20F1-A35D-4DCE-BD1D-069CD2380B24}"/>
            </a:ext>
          </a:extLst>
        </xdr:cNvPr>
        <xdr:cNvSpPr/>
      </xdr:nvSpPr>
      <xdr:spPr>
        <a:xfrm>
          <a:off x="12507685" y="11439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20410</xdr:colOff>
      <xdr:row>74</xdr:row>
      <xdr:rowOff>76200</xdr:rowOff>
    </xdr:from>
    <xdr:to>
      <xdr:col>51</xdr:col>
      <xdr:colOff>20410</xdr:colOff>
      <xdr:row>74</xdr:row>
      <xdr:rowOff>76200</xdr:rowOff>
    </xdr:to>
    <xdr:cxnSp macro="">
      <xdr:nvCxnSpPr>
        <xdr:cNvPr id="3784" name="직선 화살표 연결선 3783">
          <a:extLst>
            <a:ext uri="{FF2B5EF4-FFF2-40B4-BE49-F238E27FC236}">
              <a16:creationId xmlns:a16="http://schemas.microsoft.com/office/drawing/2014/main" id="{E8284EB7-3B98-4807-A61D-153479FC6466}"/>
            </a:ext>
          </a:extLst>
        </xdr:cNvPr>
        <xdr:cNvCxnSpPr/>
      </xdr:nvCxnSpPr>
      <xdr:spPr>
        <a:xfrm>
          <a:off x="12507685" y="1149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73</xdr:row>
      <xdr:rowOff>19050</xdr:rowOff>
    </xdr:from>
    <xdr:to>
      <xdr:col>50</xdr:col>
      <xdr:colOff>123734</xdr:colOff>
      <xdr:row>73</xdr:row>
      <xdr:rowOff>133350</xdr:rowOff>
    </xdr:to>
    <xdr:sp macro="" textlink="">
      <xdr:nvSpPr>
        <xdr:cNvPr id="3785" name="70">
          <a:extLst>
            <a:ext uri="{FF2B5EF4-FFF2-40B4-BE49-F238E27FC236}">
              <a16:creationId xmlns:a16="http://schemas.microsoft.com/office/drawing/2014/main" id="{545DCDAE-CEE2-499E-B974-E350F710D65C}"/>
            </a:ext>
          </a:extLst>
        </xdr:cNvPr>
        <xdr:cNvSpPr/>
      </xdr:nvSpPr>
      <xdr:spPr>
        <a:xfrm>
          <a:off x="12221935" y="11287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73</xdr:row>
      <xdr:rowOff>76200</xdr:rowOff>
    </xdr:from>
    <xdr:to>
      <xdr:col>49</xdr:col>
      <xdr:colOff>20410</xdr:colOff>
      <xdr:row>73</xdr:row>
      <xdr:rowOff>76200</xdr:rowOff>
    </xdr:to>
    <xdr:cxnSp macro="">
      <xdr:nvCxnSpPr>
        <xdr:cNvPr id="3786" name="직선 화살표 연결선 3785">
          <a:extLst>
            <a:ext uri="{FF2B5EF4-FFF2-40B4-BE49-F238E27FC236}">
              <a16:creationId xmlns:a16="http://schemas.microsoft.com/office/drawing/2014/main" id="{745D3EB0-0C3B-4D58-9926-ABF2C753BD74}"/>
            </a:ext>
          </a:extLst>
        </xdr:cNvPr>
        <xdr:cNvCxnSpPr/>
      </xdr:nvCxnSpPr>
      <xdr:spPr>
        <a:xfrm>
          <a:off x="12221935" y="1134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72</xdr:row>
      <xdr:rowOff>19050</xdr:rowOff>
    </xdr:from>
    <xdr:to>
      <xdr:col>48</xdr:col>
      <xdr:colOff>123734</xdr:colOff>
      <xdr:row>72</xdr:row>
      <xdr:rowOff>133350</xdr:rowOff>
    </xdr:to>
    <xdr:sp macro="" textlink="">
      <xdr:nvSpPr>
        <xdr:cNvPr id="3787" name="69">
          <a:extLst>
            <a:ext uri="{FF2B5EF4-FFF2-40B4-BE49-F238E27FC236}">
              <a16:creationId xmlns:a16="http://schemas.microsoft.com/office/drawing/2014/main" id="{3374C7DD-DC07-44F3-A29C-A584324DC98A}"/>
            </a:ext>
          </a:extLst>
        </xdr:cNvPr>
        <xdr:cNvSpPr/>
      </xdr:nvSpPr>
      <xdr:spPr>
        <a:xfrm>
          <a:off x="11936185" y="11134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72</xdr:row>
      <xdr:rowOff>76200</xdr:rowOff>
    </xdr:from>
    <xdr:to>
      <xdr:col>47</xdr:col>
      <xdr:colOff>20410</xdr:colOff>
      <xdr:row>72</xdr:row>
      <xdr:rowOff>76200</xdr:rowOff>
    </xdr:to>
    <xdr:cxnSp macro="">
      <xdr:nvCxnSpPr>
        <xdr:cNvPr id="3788" name="직선 화살표 연결선 3787">
          <a:extLst>
            <a:ext uri="{FF2B5EF4-FFF2-40B4-BE49-F238E27FC236}">
              <a16:creationId xmlns:a16="http://schemas.microsoft.com/office/drawing/2014/main" id="{3012415D-2F7D-4947-8B55-2EFF234E02A9}"/>
            </a:ext>
          </a:extLst>
        </xdr:cNvPr>
        <xdr:cNvCxnSpPr/>
      </xdr:nvCxnSpPr>
      <xdr:spPr>
        <a:xfrm>
          <a:off x="11936185" y="1119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71</xdr:row>
      <xdr:rowOff>19050</xdr:rowOff>
    </xdr:from>
    <xdr:to>
      <xdr:col>46</xdr:col>
      <xdr:colOff>123734</xdr:colOff>
      <xdr:row>71</xdr:row>
      <xdr:rowOff>133350</xdr:rowOff>
    </xdr:to>
    <xdr:sp macro="" textlink="">
      <xdr:nvSpPr>
        <xdr:cNvPr id="3789" name="68">
          <a:extLst>
            <a:ext uri="{FF2B5EF4-FFF2-40B4-BE49-F238E27FC236}">
              <a16:creationId xmlns:a16="http://schemas.microsoft.com/office/drawing/2014/main" id="{59BB6C16-9470-443E-8188-DB0FB48FF7FB}"/>
            </a:ext>
          </a:extLst>
        </xdr:cNvPr>
        <xdr:cNvSpPr/>
      </xdr:nvSpPr>
      <xdr:spPr>
        <a:xfrm>
          <a:off x="11650435" y="10982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71</xdr:row>
      <xdr:rowOff>76200</xdr:rowOff>
    </xdr:from>
    <xdr:to>
      <xdr:col>45</xdr:col>
      <xdr:colOff>20410</xdr:colOff>
      <xdr:row>71</xdr:row>
      <xdr:rowOff>76200</xdr:rowOff>
    </xdr:to>
    <xdr:cxnSp macro="">
      <xdr:nvCxnSpPr>
        <xdr:cNvPr id="3790" name="직선 화살표 연결선 3789">
          <a:extLst>
            <a:ext uri="{FF2B5EF4-FFF2-40B4-BE49-F238E27FC236}">
              <a16:creationId xmlns:a16="http://schemas.microsoft.com/office/drawing/2014/main" id="{EA9E2529-3C27-4D84-B7CA-0E96FE2F4155}"/>
            </a:ext>
          </a:extLst>
        </xdr:cNvPr>
        <xdr:cNvCxnSpPr/>
      </xdr:nvCxnSpPr>
      <xdr:spPr>
        <a:xfrm>
          <a:off x="11650435"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70</xdr:row>
      <xdr:rowOff>19050</xdr:rowOff>
    </xdr:from>
    <xdr:to>
      <xdr:col>44</xdr:col>
      <xdr:colOff>123734</xdr:colOff>
      <xdr:row>70</xdr:row>
      <xdr:rowOff>133350</xdr:rowOff>
    </xdr:to>
    <xdr:sp macro="" textlink="">
      <xdr:nvSpPr>
        <xdr:cNvPr id="3791" name="67">
          <a:extLst>
            <a:ext uri="{FF2B5EF4-FFF2-40B4-BE49-F238E27FC236}">
              <a16:creationId xmlns:a16="http://schemas.microsoft.com/office/drawing/2014/main" id="{BC5EC040-8A23-4361-A2BB-94DA918220CC}"/>
            </a:ext>
          </a:extLst>
        </xdr:cNvPr>
        <xdr:cNvSpPr/>
      </xdr:nvSpPr>
      <xdr:spPr>
        <a:xfrm>
          <a:off x="11364685" y="10829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70</xdr:row>
      <xdr:rowOff>76200</xdr:rowOff>
    </xdr:from>
    <xdr:to>
      <xdr:col>43</xdr:col>
      <xdr:colOff>20410</xdr:colOff>
      <xdr:row>70</xdr:row>
      <xdr:rowOff>76200</xdr:rowOff>
    </xdr:to>
    <xdr:cxnSp macro="">
      <xdr:nvCxnSpPr>
        <xdr:cNvPr id="3792" name="직선 화살표 연결선 3791">
          <a:extLst>
            <a:ext uri="{FF2B5EF4-FFF2-40B4-BE49-F238E27FC236}">
              <a16:creationId xmlns:a16="http://schemas.microsoft.com/office/drawing/2014/main" id="{5C121AD2-B778-43AC-A6F5-CFF5B7131E8B}"/>
            </a:ext>
          </a:extLst>
        </xdr:cNvPr>
        <xdr:cNvCxnSpPr/>
      </xdr:nvCxnSpPr>
      <xdr:spPr>
        <a:xfrm>
          <a:off x="11364685" y="1088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69</xdr:row>
      <xdr:rowOff>19050</xdr:rowOff>
    </xdr:from>
    <xdr:to>
      <xdr:col>60</xdr:col>
      <xdr:colOff>123734</xdr:colOff>
      <xdr:row>69</xdr:row>
      <xdr:rowOff>133350</xdr:rowOff>
    </xdr:to>
    <xdr:sp macro="" textlink="">
      <xdr:nvSpPr>
        <xdr:cNvPr id="3793" name="66">
          <a:extLst>
            <a:ext uri="{FF2B5EF4-FFF2-40B4-BE49-F238E27FC236}">
              <a16:creationId xmlns:a16="http://schemas.microsoft.com/office/drawing/2014/main" id="{9529B422-0AD5-4E74-B105-A8FD88BCEB76}"/>
            </a:ext>
          </a:extLst>
        </xdr:cNvPr>
        <xdr:cNvSpPr/>
      </xdr:nvSpPr>
      <xdr:spPr>
        <a:xfrm>
          <a:off x="11364685" y="10677525"/>
          <a:ext cx="2532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69</xdr:row>
      <xdr:rowOff>76200</xdr:rowOff>
    </xdr:from>
    <xdr:to>
      <xdr:col>43</xdr:col>
      <xdr:colOff>20410</xdr:colOff>
      <xdr:row>69</xdr:row>
      <xdr:rowOff>76200</xdr:rowOff>
    </xdr:to>
    <xdr:cxnSp macro="">
      <xdr:nvCxnSpPr>
        <xdr:cNvPr id="3794" name="직선 화살표 연결선 3793">
          <a:extLst>
            <a:ext uri="{FF2B5EF4-FFF2-40B4-BE49-F238E27FC236}">
              <a16:creationId xmlns:a16="http://schemas.microsoft.com/office/drawing/2014/main" id="{E484ABE9-D68B-48C3-BD3D-95824F98C62F}"/>
            </a:ext>
          </a:extLst>
        </xdr:cNvPr>
        <xdr:cNvCxnSpPr/>
      </xdr:nvCxnSpPr>
      <xdr:spPr>
        <a:xfrm>
          <a:off x="11364685"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68</xdr:row>
      <xdr:rowOff>19050</xdr:rowOff>
    </xdr:from>
    <xdr:to>
      <xdr:col>56</xdr:col>
      <xdr:colOff>123734</xdr:colOff>
      <xdr:row>68</xdr:row>
      <xdr:rowOff>133350</xdr:rowOff>
    </xdr:to>
    <xdr:sp macro="" textlink="">
      <xdr:nvSpPr>
        <xdr:cNvPr id="3795" name="65">
          <a:extLst>
            <a:ext uri="{FF2B5EF4-FFF2-40B4-BE49-F238E27FC236}">
              <a16:creationId xmlns:a16="http://schemas.microsoft.com/office/drawing/2014/main" id="{AFDE5934-16A2-45FB-9617-B16BC3573688}"/>
            </a:ext>
          </a:extLst>
        </xdr:cNvPr>
        <xdr:cNvSpPr/>
      </xdr:nvSpPr>
      <xdr:spPr>
        <a:xfrm>
          <a:off x="13079186" y="10525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68</xdr:row>
      <xdr:rowOff>76200</xdr:rowOff>
    </xdr:from>
    <xdr:to>
      <xdr:col>55</xdr:col>
      <xdr:colOff>20411</xdr:colOff>
      <xdr:row>68</xdr:row>
      <xdr:rowOff>76200</xdr:rowOff>
    </xdr:to>
    <xdr:cxnSp macro="">
      <xdr:nvCxnSpPr>
        <xdr:cNvPr id="3796" name="직선 화살표 연결선 3795">
          <a:extLst>
            <a:ext uri="{FF2B5EF4-FFF2-40B4-BE49-F238E27FC236}">
              <a16:creationId xmlns:a16="http://schemas.microsoft.com/office/drawing/2014/main" id="{BAE29181-84F1-480E-BD35-67285B177E31}"/>
            </a:ext>
          </a:extLst>
        </xdr:cNvPr>
        <xdr:cNvCxnSpPr/>
      </xdr:nvCxnSpPr>
      <xdr:spPr>
        <a:xfrm>
          <a:off x="13079186"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67</xdr:row>
      <xdr:rowOff>19050</xdr:rowOff>
    </xdr:from>
    <xdr:to>
      <xdr:col>54</xdr:col>
      <xdr:colOff>123734</xdr:colOff>
      <xdr:row>67</xdr:row>
      <xdr:rowOff>133350</xdr:rowOff>
    </xdr:to>
    <xdr:sp macro="" textlink="">
      <xdr:nvSpPr>
        <xdr:cNvPr id="3797" name="64">
          <a:extLst>
            <a:ext uri="{FF2B5EF4-FFF2-40B4-BE49-F238E27FC236}">
              <a16:creationId xmlns:a16="http://schemas.microsoft.com/office/drawing/2014/main" id="{8473D518-7B0E-4D06-A88A-E305040249A3}"/>
            </a:ext>
          </a:extLst>
        </xdr:cNvPr>
        <xdr:cNvSpPr/>
      </xdr:nvSpPr>
      <xdr:spPr>
        <a:xfrm>
          <a:off x="12793435" y="10372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67</xdr:row>
      <xdr:rowOff>76200</xdr:rowOff>
    </xdr:from>
    <xdr:to>
      <xdr:col>53</xdr:col>
      <xdr:colOff>20410</xdr:colOff>
      <xdr:row>67</xdr:row>
      <xdr:rowOff>76200</xdr:rowOff>
    </xdr:to>
    <xdr:cxnSp macro="">
      <xdr:nvCxnSpPr>
        <xdr:cNvPr id="3798" name="직선 화살표 연결선 3797">
          <a:extLst>
            <a:ext uri="{FF2B5EF4-FFF2-40B4-BE49-F238E27FC236}">
              <a16:creationId xmlns:a16="http://schemas.microsoft.com/office/drawing/2014/main" id="{7E63CCFD-DCAA-4FC6-9C87-873C4EBBDC68}"/>
            </a:ext>
          </a:extLst>
        </xdr:cNvPr>
        <xdr:cNvCxnSpPr/>
      </xdr:nvCxnSpPr>
      <xdr:spPr>
        <a:xfrm>
          <a:off x="12793435"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66</xdr:row>
      <xdr:rowOff>19050</xdr:rowOff>
    </xdr:from>
    <xdr:to>
      <xdr:col>42</xdr:col>
      <xdr:colOff>123734</xdr:colOff>
      <xdr:row>66</xdr:row>
      <xdr:rowOff>133350</xdr:rowOff>
    </xdr:to>
    <xdr:sp macro="" textlink="">
      <xdr:nvSpPr>
        <xdr:cNvPr id="3799" name="63">
          <a:extLst>
            <a:ext uri="{FF2B5EF4-FFF2-40B4-BE49-F238E27FC236}">
              <a16:creationId xmlns:a16="http://schemas.microsoft.com/office/drawing/2014/main" id="{1420B68E-AE27-435E-B93A-4B7DF39BD5D0}"/>
            </a:ext>
          </a:extLst>
        </xdr:cNvPr>
        <xdr:cNvSpPr/>
      </xdr:nvSpPr>
      <xdr:spPr>
        <a:xfrm>
          <a:off x="11078935" y="10220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66</xdr:row>
      <xdr:rowOff>76200</xdr:rowOff>
    </xdr:from>
    <xdr:to>
      <xdr:col>41</xdr:col>
      <xdr:colOff>20410</xdr:colOff>
      <xdr:row>66</xdr:row>
      <xdr:rowOff>76200</xdr:rowOff>
    </xdr:to>
    <xdr:cxnSp macro="">
      <xdr:nvCxnSpPr>
        <xdr:cNvPr id="3800" name="직선 화살표 연결선 3799">
          <a:extLst>
            <a:ext uri="{FF2B5EF4-FFF2-40B4-BE49-F238E27FC236}">
              <a16:creationId xmlns:a16="http://schemas.microsoft.com/office/drawing/2014/main" id="{AA6D27F4-B309-4B3E-9267-20772F96F347}"/>
            </a:ext>
          </a:extLst>
        </xdr:cNvPr>
        <xdr:cNvCxnSpPr/>
      </xdr:nvCxnSpPr>
      <xdr:spPr>
        <a:xfrm>
          <a:off x="11078935"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65</xdr:row>
      <xdr:rowOff>19050</xdr:rowOff>
    </xdr:from>
    <xdr:to>
      <xdr:col>40</xdr:col>
      <xdr:colOff>123734</xdr:colOff>
      <xdr:row>65</xdr:row>
      <xdr:rowOff>133350</xdr:rowOff>
    </xdr:to>
    <xdr:sp macro="" textlink="">
      <xdr:nvSpPr>
        <xdr:cNvPr id="3801" name="62">
          <a:extLst>
            <a:ext uri="{FF2B5EF4-FFF2-40B4-BE49-F238E27FC236}">
              <a16:creationId xmlns:a16="http://schemas.microsoft.com/office/drawing/2014/main" id="{BE99B1F2-2B69-40C5-8557-B7A13C5899B3}"/>
            </a:ext>
          </a:extLst>
        </xdr:cNvPr>
        <xdr:cNvSpPr/>
      </xdr:nvSpPr>
      <xdr:spPr>
        <a:xfrm>
          <a:off x="10793185" y="10067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65</xdr:row>
      <xdr:rowOff>76200</xdr:rowOff>
    </xdr:from>
    <xdr:to>
      <xdr:col>39</xdr:col>
      <xdr:colOff>20410</xdr:colOff>
      <xdr:row>65</xdr:row>
      <xdr:rowOff>76200</xdr:rowOff>
    </xdr:to>
    <xdr:cxnSp macro="">
      <xdr:nvCxnSpPr>
        <xdr:cNvPr id="3802" name="직선 화살표 연결선 3801">
          <a:extLst>
            <a:ext uri="{FF2B5EF4-FFF2-40B4-BE49-F238E27FC236}">
              <a16:creationId xmlns:a16="http://schemas.microsoft.com/office/drawing/2014/main" id="{2F5C360A-C4E8-48E1-8CDE-F3DFD467ECFA}"/>
            </a:ext>
          </a:extLst>
        </xdr:cNvPr>
        <xdr:cNvCxnSpPr/>
      </xdr:nvCxnSpPr>
      <xdr:spPr>
        <a:xfrm>
          <a:off x="10793185"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64</xdr:row>
      <xdr:rowOff>19050</xdr:rowOff>
    </xdr:from>
    <xdr:to>
      <xdr:col>42</xdr:col>
      <xdr:colOff>123734</xdr:colOff>
      <xdr:row>64</xdr:row>
      <xdr:rowOff>133350</xdr:rowOff>
    </xdr:to>
    <xdr:sp macro="" textlink="">
      <xdr:nvSpPr>
        <xdr:cNvPr id="3803" name="61">
          <a:extLst>
            <a:ext uri="{FF2B5EF4-FFF2-40B4-BE49-F238E27FC236}">
              <a16:creationId xmlns:a16="http://schemas.microsoft.com/office/drawing/2014/main" id="{97A22DC2-E12F-47A0-864E-F00FF8694B63}"/>
            </a:ext>
          </a:extLst>
        </xdr:cNvPr>
        <xdr:cNvSpPr/>
      </xdr:nvSpPr>
      <xdr:spPr>
        <a:xfrm>
          <a:off x="11078935" y="9915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64</xdr:row>
      <xdr:rowOff>76200</xdr:rowOff>
    </xdr:from>
    <xdr:to>
      <xdr:col>41</xdr:col>
      <xdr:colOff>20410</xdr:colOff>
      <xdr:row>64</xdr:row>
      <xdr:rowOff>76200</xdr:rowOff>
    </xdr:to>
    <xdr:cxnSp macro="">
      <xdr:nvCxnSpPr>
        <xdr:cNvPr id="3804" name="직선 화살표 연결선 3803">
          <a:extLst>
            <a:ext uri="{FF2B5EF4-FFF2-40B4-BE49-F238E27FC236}">
              <a16:creationId xmlns:a16="http://schemas.microsoft.com/office/drawing/2014/main" id="{B8F8277E-178A-482D-8030-EF23520E98BB}"/>
            </a:ext>
          </a:extLst>
        </xdr:cNvPr>
        <xdr:cNvCxnSpPr/>
      </xdr:nvCxnSpPr>
      <xdr:spPr>
        <a:xfrm>
          <a:off x="11078935"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63</xdr:row>
      <xdr:rowOff>19050</xdr:rowOff>
    </xdr:from>
    <xdr:to>
      <xdr:col>40</xdr:col>
      <xdr:colOff>123734</xdr:colOff>
      <xdr:row>63</xdr:row>
      <xdr:rowOff>133350</xdr:rowOff>
    </xdr:to>
    <xdr:sp macro="" textlink="">
      <xdr:nvSpPr>
        <xdr:cNvPr id="3805" name="60">
          <a:extLst>
            <a:ext uri="{FF2B5EF4-FFF2-40B4-BE49-F238E27FC236}">
              <a16:creationId xmlns:a16="http://schemas.microsoft.com/office/drawing/2014/main" id="{47DA62A6-2C15-4DB3-B56B-ACE02047B13B}"/>
            </a:ext>
          </a:extLst>
        </xdr:cNvPr>
        <xdr:cNvSpPr/>
      </xdr:nvSpPr>
      <xdr:spPr>
        <a:xfrm>
          <a:off x="10793185" y="9763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63</xdr:row>
      <xdr:rowOff>76200</xdr:rowOff>
    </xdr:from>
    <xdr:to>
      <xdr:col>39</xdr:col>
      <xdr:colOff>20410</xdr:colOff>
      <xdr:row>63</xdr:row>
      <xdr:rowOff>76200</xdr:rowOff>
    </xdr:to>
    <xdr:cxnSp macro="">
      <xdr:nvCxnSpPr>
        <xdr:cNvPr id="3806" name="직선 화살표 연결선 3805">
          <a:extLst>
            <a:ext uri="{FF2B5EF4-FFF2-40B4-BE49-F238E27FC236}">
              <a16:creationId xmlns:a16="http://schemas.microsoft.com/office/drawing/2014/main" id="{58161DD4-C8C7-4947-850D-235EB145D59B}"/>
            </a:ext>
          </a:extLst>
        </xdr:cNvPr>
        <xdr:cNvCxnSpPr/>
      </xdr:nvCxnSpPr>
      <xdr:spPr>
        <a:xfrm>
          <a:off x="10793185"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62</xdr:row>
      <xdr:rowOff>19050</xdr:rowOff>
    </xdr:from>
    <xdr:to>
      <xdr:col>38</xdr:col>
      <xdr:colOff>123734</xdr:colOff>
      <xdr:row>62</xdr:row>
      <xdr:rowOff>133350</xdr:rowOff>
    </xdr:to>
    <xdr:sp macro="" textlink="">
      <xdr:nvSpPr>
        <xdr:cNvPr id="3807" name="59">
          <a:extLst>
            <a:ext uri="{FF2B5EF4-FFF2-40B4-BE49-F238E27FC236}">
              <a16:creationId xmlns:a16="http://schemas.microsoft.com/office/drawing/2014/main" id="{7E0A33B7-4F3A-498A-8424-2C8F5D233365}"/>
            </a:ext>
          </a:extLst>
        </xdr:cNvPr>
        <xdr:cNvSpPr/>
      </xdr:nvSpPr>
      <xdr:spPr>
        <a:xfrm>
          <a:off x="10507435" y="9610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62</xdr:row>
      <xdr:rowOff>76200</xdr:rowOff>
    </xdr:from>
    <xdr:to>
      <xdr:col>37</xdr:col>
      <xdr:colOff>20410</xdr:colOff>
      <xdr:row>62</xdr:row>
      <xdr:rowOff>76200</xdr:rowOff>
    </xdr:to>
    <xdr:cxnSp macro="">
      <xdr:nvCxnSpPr>
        <xdr:cNvPr id="3808" name="직선 화살표 연결선 3807">
          <a:extLst>
            <a:ext uri="{FF2B5EF4-FFF2-40B4-BE49-F238E27FC236}">
              <a16:creationId xmlns:a16="http://schemas.microsoft.com/office/drawing/2014/main" id="{69D374BB-B037-469D-BCFD-8FF859A57A06}"/>
            </a:ext>
          </a:extLst>
        </xdr:cNvPr>
        <xdr:cNvCxnSpPr/>
      </xdr:nvCxnSpPr>
      <xdr:spPr>
        <a:xfrm>
          <a:off x="10507435"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61</xdr:row>
      <xdr:rowOff>19050</xdr:rowOff>
    </xdr:from>
    <xdr:to>
      <xdr:col>36</xdr:col>
      <xdr:colOff>123734</xdr:colOff>
      <xdr:row>61</xdr:row>
      <xdr:rowOff>133350</xdr:rowOff>
    </xdr:to>
    <xdr:sp macro="" textlink="">
      <xdr:nvSpPr>
        <xdr:cNvPr id="3809" name="58">
          <a:extLst>
            <a:ext uri="{FF2B5EF4-FFF2-40B4-BE49-F238E27FC236}">
              <a16:creationId xmlns:a16="http://schemas.microsoft.com/office/drawing/2014/main" id="{F8ADC9F5-97DE-467F-B460-7BF918C6E357}"/>
            </a:ext>
          </a:extLst>
        </xdr:cNvPr>
        <xdr:cNvSpPr/>
      </xdr:nvSpPr>
      <xdr:spPr>
        <a:xfrm>
          <a:off x="10221685" y="9458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61</xdr:row>
      <xdr:rowOff>76200</xdr:rowOff>
    </xdr:from>
    <xdr:to>
      <xdr:col>35</xdr:col>
      <xdr:colOff>20410</xdr:colOff>
      <xdr:row>61</xdr:row>
      <xdr:rowOff>76200</xdr:rowOff>
    </xdr:to>
    <xdr:cxnSp macro="">
      <xdr:nvCxnSpPr>
        <xdr:cNvPr id="3810" name="직선 화살표 연결선 3809">
          <a:extLst>
            <a:ext uri="{FF2B5EF4-FFF2-40B4-BE49-F238E27FC236}">
              <a16:creationId xmlns:a16="http://schemas.microsoft.com/office/drawing/2014/main" id="{6D18BF9A-AAF5-4236-91CA-0F3349E1F9AB}"/>
            </a:ext>
          </a:extLst>
        </xdr:cNvPr>
        <xdr:cNvCxnSpPr/>
      </xdr:nvCxnSpPr>
      <xdr:spPr>
        <a:xfrm>
          <a:off x="10221685"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60</xdr:row>
      <xdr:rowOff>19050</xdr:rowOff>
    </xdr:from>
    <xdr:to>
      <xdr:col>34</xdr:col>
      <xdr:colOff>123734</xdr:colOff>
      <xdr:row>60</xdr:row>
      <xdr:rowOff>133350</xdr:rowOff>
    </xdr:to>
    <xdr:sp macro="" textlink="">
      <xdr:nvSpPr>
        <xdr:cNvPr id="3811" name="57">
          <a:extLst>
            <a:ext uri="{FF2B5EF4-FFF2-40B4-BE49-F238E27FC236}">
              <a16:creationId xmlns:a16="http://schemas.microsoft.com/office/drawing/2014/main" id="{D993334E-96E6-4029-AD71-DE8002386BFD}"/>
            </a:ext>
          </a:extLst>
        </xdr:cNvPr>
        <xdr:cNvSpPr/>
      </xdr:nvSpPr>
      <xdr:spPr>
        <a:xfrm>
          <a:off x="9935935" y="9305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60</xdr:row>
      <xdr:rowOff>76200</xdr:rowOff>
    </xdr:from>
    <xdr:to>
      <xdr:col>33</xdr:col>
      <xdr:colOff>20410</xdr:colOff>
      <xdr:row>60</xdr:row>
      <xdr:rowOff>76200</xdr:rowOff>
    </xdr:to>
    <xdr:cxnSp macro="">
      <xdr:nvCxnSpPr>
        <xdr:cNvPr id="3812" name="직선 화살표 연결선 3811">
          <a:extLst>
            <a:ext uri="{FF2B5EF4-FFF2-40B4-BE49-F238E27FC236}">
              <a16:creationId xmlns:a16="http://schemas.microsoft.com/office/drawing/2014/main" id="{B7686653-5DBD-4098-A14E-05599F72F256}"/>
            </a:ext>
          </a:extLst>
        </xdr:cNvPr>
        <xdr:cNvCxnSpPr/>
      </xdr:nvCxnSpPr>
      <xdr:spPr>
        <a:xfrm>
          <a:off x="9935935"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59</xdr:row>
      <xdr:rowOff>19050</xdr:rowOff>
    </xdr:from>
    <xdr:to>
      <xdr:col>32</xdr:col>
      <xdr:colOff>123734</xdr:colOff>
      <xdr:row>59</xdr:row>
      <xdr:rowOff>133350</xdr:rowOff>
    </xdr:to>
    <xdr:sp macro="" textlink="">
      <xdr:nvSpPr>
        <xdr:cNvPr id="3813" name="56">
          <a:extLst>
            <a:ext uri="{FF2B5EF4-FFF2-40B4-BE49-F238E27FC236}">
              <a16:creationId xmlns:a16="http://schemas.microsoft.com/office/drawing/2014/main" id="{FF7D96D0-9240-4CB3-A1C1-913DAED709D5}"/>
            </a:ext>
          </a:extLst>
        </xdr:cNvPr>
        <xdr:cNvSpPr/>
      </xdr:nvSpPr>
      <xdr:spPr>
        <a:xfrm>
          <a:off x="9650185" y="9153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59</xdr:row>
      <xdr:rowOff>76200</xdr:rowOff>
    </xdr:from>
    <xdr:to>
      <xdr:col>31</xdr:col>
      <xdr:colOff>20410</xdr:colOff>
      <xdr:row>59</xdr:row>
      <xdr:rowOff>76200</xdr:rowOff>
    </xdr:to>
    <xdr:cxnSp macro="">
      <xdr:nvCxnSpPr>
        <xdr:cNvPr id="3814" name="직선 화살표 연결선 3813">
          <a:extLst>
            <a:ext uri="{FF2B5EF4-FFF2-40B4-BE49-F238E27FC236}">
              <a16:creationId xmlns:a16="http://schemas.microsoft.com/office/drawing/2014/main" id="{58A494D7-F771-41E8-8FA4-EC97530968DF}"/>
            </a:ext>
          </a:extLst>
        </xdr:cNvPr>
        <xdr:cNvCxnSpPr/>
      </xdr:nvCxnSpPr>
      <xdr:spPr>
        <a:xfrm>
          <a:off x="9650185"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58</xdr:row>
      <xdr:rowOff>19050</xdr:rowOff>
    </xdr:from>
    <xdr:to>
      <xdr:col>56</xdr:col>
      <xdr:colOff>123734</xdr:colOff>
      <xdr:row>58</xdr:row>
      <xdr:rowOff>133350</xdr:rowOff>
    </xdr:to>
    <xdr:sp macro="" textlink="">
      <xdr:nvSpPr>
        <xdr:cNvPr id="3815" name="55">
          <a:extLst>
            <a:ext uri="{FF2B5EF4-FFF2-40B4-BE49-F238E27FC236}">
              <a16:creationId xmlns:a16="http://schemas.microsoft.com/office/drawing/2014/main" id="{8169CA94-B387-45A4-9EBA-82103FEA0477}"/>
            </a:ext>
          </a:extLst>
        </xdr:cNvPr>
        <xdr:cNvSpPr/>
      </xdr:nvSpPr>
      <xdr:spPr>
        <a:xfrm>
          <a:off x="9650185" y="9001125"/>
          <a:ext cx="3675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58</xdr:row>
      <xdr:rowOff>76200</xdr:rowOff>
    </xdr:from>
    <xdr:to>
      <xdr:col>31</xdr:col>
      <xdr:colOff>20410</xdr:colOff>
      <xdr:row>58</xdr:row>
      <xdr:rowOff>76200</xdr:rowOff>
    </xdr:to>
    <xdr:cxnSp macro="">
      <xdr:nvCxnSpPr>
        <xdr:cNvPr id="3816" name="직선 화살표 연결선 3815">
          <a:extLst>
            <a:ext uri="{FF2B5EF4-FFF2-40B4-BE49-F238E27FC236}">
              <a16:creationId xmlns:a16="http://schemas.microsoft.com/office/drawing/2014/main" id="{C76C47A3-4281-4630-81C1-58691CF29D7B}"/>
            </a:ext>
          </a:extLst>
        </xdr:cNvPr>
        <xdr:cNvCxnSpPr/>
      </xdr:nvCxnSpPr>
      <xdr:spPr>
        <a:xfrm>
          <a:off x="9650185"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57</xdr:row>
      <xdr:rowOff>19050</xdr:rowOff>
    </xdr:from>
    <xdr:to>
      <xdr:col>82</xdr:col>
      <xdr:colOff>123734</xdr:colOff>
      <xdr:row>57</xdr:row>
      <xdr:rowOff>133350</xdr:rowOff>
    </xdr:to>
    <xdr:sp macro="" textlink="">
      <xdr:nvSpPr>
        <xdr:cNvPr id="3817" name="54">
          <a:extLst>
            <a:ext uri="{FF2B5EF4-FFF2-40B4-BE49-F238E27FC236}">
              <a16:creationId xmlns:a16="http://schemas.microsoft.com/office/drawing/2014/main" id="{26E609CF-C590-4B99-804E-6B764E6A6D6E}"/>
            </a:ext>
          </a:extLst>
        </xdr:cNvPr>
        <xdr:cNvSpPr/>
      </xdr:nvSpPr>
      <xdr:spPr>
        <a:xfrm>
          <a:off x="9650185" y="8848725"/>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57</xdr:row>
      <xdr:rowOff>76200</xdr:rowOff>
    </xdr:from>
    <xdr:to>
      <xdr:col>31</xdr:col>
      <xdr:colOff>20410</xdr:colOff>
      <xdr:row>57</xdr:row>
      <xdr:rowOff>76200</xdr:rowOff>
    </xdr:to>
    <xdr:cxnSp macro="">
      <xdr:nvCxnSpPr>
        <xdr:cNvPr id="3818" name="직선 화살표 연결선 3817">
          <a:extLst>
            <a:ext uri="{FF2B5EF4-FFF2-40B4-BE49-F238E27FC236}">
              <a16:creationId xmlns:a16="http://schemas.microsoft.com/office/drawing/2014/main" id="{388B2A2C-7C74-4FEA-B297-D44D175ADD13}"/>
            </a:ext>
          </a:extLst>
        </xdr:cNvPr>
        <xdr:cNvCxnSpPr/>
      </xdr:nvCxnSpPr>
      <xdr:spPr>
        <a:xfrm>
          <a:off x="9650185"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20411</xdr:colOff>
      <xdr:row>56</xdr:row>
      <xdr:rowOff>19050</xdr:rowOff>
    </xdr:from>
    <xdr:to>
      <xdr:col>82</xdr:col>
      <xdr:colOff>123734</xdr:colOff>
      <xdr:row>56</xdr:row>
      <xdr:rowOff>133350</xdr:rowOff>
    </xdr:to>
    <xdr:sp macro="" textlink="">
      <xdr:nvSpPr>
        <xdr:cNvPr id="3819" name="53">
          <a:extLst>
            <a:ext uri="{FF2B5EF4-FFF2-40B4-BE49-F238E27FC236}">
              <a16:creationId xmlns:a16="http://schemas.microsoft.com/office/drawing/2014/main" id="{92013215-63CF-41E3-BA50-0C6A6D03B74D}"/>
            </a:ext>
          </a:extLst>
        </xdr:cNvPr>
        <xdr:cNvSpPr/>
      </xdr:nvSpPr>
      <xdr:spPr>
        <a:xfrm>
          <a:off x="16793936" y="8696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20411</xdr:colOff>
      <xdr:row>56</xdr:row>
      <xdr:rowOff>76200</xdr:rowOff>
    </xdr:from>
    <xdr:to>
      <xdr:col>81</xdr:col>
      <xdr:colOff>20411</xdr:colOff>
      <xdr:row>56</xdr:row>
      <xdr:rowOff>76200</xdr:rowOff>
    </xdr:to>
    <xdr:cxnSp macro="">
      <xdr:nvCxnSpPr>
        <xdr:cNvPr id="3820" name="직선 화살표 연결선 3819">
          <a:extLst>
            <a:ext uri="{FF2B5EF4-FFF2-40B4-BE49-F238E27FC236}">
              <a16:creationId xmlns:a16="http://schemas.microsoft.com/office/drawing/2014/main" id="{91FC3B53-53EF-486A-AF3E-3B17F2454437}"/>
            </a:ext>
          </a:extLst>
        </xdr:cNvPr>
        <xdr:cNvCxnSpPr/>
      </xdr:nvCxnSpPr>
      <xdr:spPr>
        <a:xfrm>
          <a:off x="16793936" y="875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20411</xdr:colOff>
      <xdr:row>55</xdr:row>
      <xdr:rowOff>19050</xdr:rowOff>
    </xdr:from>
    <xdr:to>
      <xdr:col>80</xdr:col>
      <xdr:colOff>123734</xdr:colOff>
      <xdr:row>55</xdr:row>
      <xdr:rowOff>133350</xdr:rowOff>
    </xdr:to>
    <xdr:sp macro="" textlink="">
      <xdr:nvSpPr>
        <xdr:cNvPr id="3821" name="52">
          <a:extLst>
            <a:ext uri="{FF2B5EF4-FFF2-40B4-BE49-F238E27FC236}">
              <a16:creationId xmlns:a16="http://schemas.microsoft.com/office/drawing/2014/main" id="{D0B5BA3A-8382-4546-93CA-D97702DF3E47}"/>
            </a:ext>
          </a:extLst>
        </xdr:cNvPr>
        <xdr:cNvSpPr/>
      </xdr:nvSpPr>
      <xdr:spPr>
        <a:xfrm>
          <a:off x="16508186" y="8543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20411</xdr:colOff>
      <xdr:row>55</xdr:row>
      <xdr:rowOff>76200</xdr:rowOff>
    </xdr:from>
    <xdr:to>
      <xdr:col>79</xdr:col>
      <xdr:colOff>20411</xdr:colOff>
      <xdr:row>55</xdr:row>
      <xdr:rowOff>76200</xdr:rowOff>
    </xdr:to>
    <xdr:cxnSp macro="">
      <xdr:nvCxnSpPr>
        <xdr:cNvPr id="3822" name="직선 화살표 연결선 3821">
          <a:extLst>
            <a:ext uri="{FF2B5EF4-FFF2-40B4-BE49-F238E27FC236}">
              <a16:creationId xmlns:a16="http://schemas.microsoft.com/office/drawing/2014/main" id="{1EA7D8A1-A97C-4E8A-9F1B-8E77E3E7BBAE}"/>
            </a:ext>
          </a:extLst>
        </xdr:cNvPr>
        <xdr:cNvCxnSpPr/>
      </xdr:nvCxnSpPr>
      <xdr:spPr>
        <a:xfrm>
          <a:off x="16508186"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20411</xdr:colOff>
      <xdr:row>54</xdr:row>
      <xdr:rowOff>19050</xdr:rowOff>
    </xdr:from>
    <xdr:to>
      <xdr:col>78</xdr:col>
      <xdr:colOff>123734</xdr:colOff>
      <xdr:row>54</xdr:row>
      <xdr:rowOff>133350</xdr:rowOff>
    </xdr:to>
    <xdr:sp macro="" textlink="">
      <xdr:nvSpPr>
        <xdr:cNvPr id="3824" name="51">
          <a:extLst>
            <a:ext uri="{FF2B5EF4-FFF2-40B4-BE49-F238E27FC236}">
              <a16:creationId xmlns:a16="http://schemas.microsoft.com/office/drawing/2014/main" id="{0327AD8B-6E0E-497A-B969-7D12146DB91F}"/>
            </a:ext>
          </a:extLst>
        </xdr:cNvPr>
        <xdr:cNvSpPr/>
      </xdr:nvSpPr>
      <xdr:spPr>
        <a:xfrm>
          <a:off x="16222436" y="8391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20411</xdr:colOff>
      <xdr:row>54</xdr:row>
      <xdr:rowOff>76200</xdr:rowOff>
    </xdr:from>
    <xdr:to>
      <xdr:col>77</xdr:col>
      <xdr:colOff>20411</xdr:colOff>
      <xdr:row>54</xdr:row>
      <xdr:rowOff>76200</xdr:rowOff>
    </xdr:to>
    <xdr:cxnSp macro="">
      <xdr:nvCxnSpPr>
        <xdr:cNvPr id="3825" name="직선 화살표 연결선 3824">
          <a:extLst>
            <a:ext uri="{FF2B5EF4-FFF2-40B4-BE49-F238E27FC236}">
              <a16:creationId xmlns:a16="http://schemas.microsoft.com/office/drawing/2014/main" id="{C80B2215-3142-4BA3-9FE5-B3594EBF3EB7}"/>
            </a:ext>
          </a:extLst>
        </xdr:cNvPr>
        <xdr:cNvCxnSpPr/>
      </xdr:nvCxnSpPr>
      <xdr:spPr>
        <a:xfrm>
          <a:off x="16222436"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53</xdr:row>
      <xdr:rowOff>19050</xdr:rowOff>
    </xdr:from>
    <xdr:to>
      <xdr:col>76</xdr:col>
      <xdr:colOff>123734</xdr:colOff>
      <xdr:row>53</xdr:row>
      <xdr:rowOff>133350</xdr:rowOff>
    </xdr:to>
    <xdr:sp macro="" textlink="">
      <xdr:nvSpPr>
        <xdr:cNvPr id="3826" name="50">
          <a:extLst>
            <a:ext uri="{FF2B5EF4-FFF2-40B4-BE49-F238E27FC236}">
              <a16:creationId xmlns:a16="http://schemas.microsoft.com/office/drawing/2014/main" id="{1CFE7A48-5AC3-4FFB-A82E-67F3EC34FFED}"/>
            </a:ext>
          </a:extLst>
        </xdr:cNvPr>
        <xdr:cNvSpPr/>
      </xdr:nvSpPr>
      <xdr:spPr>
        <a:xfrm>
          <a:off x="15936686" y="8239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53</xdr:row>
      <xdr:rowOff>76200</xdr:rowOff>
    </xdr:from>
    <xdr:to>
      <xdr:col>75</xdr:col>
      <xdr:colOff>20411</xdr:colOff>
      <xdr:row>53</xdr:row>
      <xdr:rowOff>76200</xdr:rowOff>
    </xdr:to>
    <xdr:cxnSp macro="">
      <xdr:nvCxnSpPr>
        <xdr:cNvPr id="3827" name="직선 화살표 연결선 3826">
          <a:extLst>
            <a:ext uri="{FF2B5EF4-FFF2-40B4-BE49-F238E27FC236}">
              <a16:creationId xmlns:a16="http://schemas.microsoft.com/office/drawing/2014/main" id="{30E639C9-1EBE-4B9C-9AC1-A21908C97841}"/>
            </a:ext>
          </a:extLst>
        </xdr:cNvPr>
        <xdr:cNvCxnSpPr/>
      </xdr:nvCxnSpPr>
      <xdr:spPr>
        <a:xfrm>
          <a:off x="15936686"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52</xdr:row>
      <xdr:rowOff>19050</xdr:rowOff>
    </xdr:from>
    <xdr:to>
      <xdr:col>82</xdr:col>
      <xdr:colOff>123734</xdr:colOff>
      <xdr:row>52</xdr:row>
      <xdr:rowOff>133350</xdr:rowOff>
    </xdr:to>
    <xdr:sp macro="" textlink="">
      <xdr:nvSpPr>
        <xdr:cNvPr id="3828" name="49">
          <a:extLst>
            <a:ext uri="{FF2B5EF4-FFF2-40B4-BE49-F238E27FC236}">
              <a16:creationId xmlns:a16="http://schemas.microsoft.com/office/drawing/2014/main" id="{A5E85AE5-38AA-4FEF-BD55-9309C67F4C2A}"/>
            </a:ext>
          </a:extLst>
        </xdr:cNvPr>
        <xdr:cNvSpPr/>
      </xdr:nvSpPr>
      <xdr:spPr>
        <a:xfrm>
          <a:off x="15936686" y="8086725"/>
          <a:ext cx="11034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52</xdr:row>
      <xdr:rowOff>76200</xdr:rowOff>
    </xdr:from>
    <xdr:to>
      <xdr:col>75</xdr:col>
      <xdr:colOff>20411</xdr:colOff>
      <xdr:row>52</xdr:row>
      <xdr:rowOff>76200</xdr:rowOff>
    </xdr:to>
    <xdr:cxnSp macro="">
      <xdr:nvCxnSpPr>
        <xdr:cNvPr id="3829" name="직선 화살표 연결선 3828">
          <a:extLst>
            <a:ext uri="{FF2B5EF4-FFF2-40B4-BE49-F238E27FC236}">
              <a16:creationId xmlns:a16="http://schemas.microsoft.com/office/drawing/2014/main" id="{C740124B-7403-4AD4-9812-D499627E4E98}"/>
            </a:ext>
          </a:extLst>
        </xdr:cNvPr>
        <xdr:cNvCxnSpPr/>
      </xdr:nvCxnSpPr>
      <xdr:spPr>
        <a:xfrm>
          <a:off x="15936686"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20411</xdr:colOff>
      <xdr:row>51</xdr:row>
      <xdr:rowOff>19050</xdr:rowOff>
    </xdr:from>
    <xdr:to>
      <xdr:col>78</xdr:col>
      <xdr:colOff>123734</xdr:colOff>
      <xdr:row>51</xdr:row>
      <xdr:rowOff>133350</xdr:rowOff>
    </xdr:to>
    <xdr:sp macro="" textlink="">
      <xdr:nvSpPr>
        <xdr:cNvPr id="3830" name="48">
          <a:extLst>
            <a:ext uri="{FF2B5EF4-FFF2-40B4-BE49-F238E27FC236}">
              <a16:creationId xmlns:a16="http://schemas.microsoft.com/office/drawing/2014/main" id="{C8A4F6C7-6038-4F9B-8F80-F752A9BC320F}"/>
            </a:ext>
          </a:extLst>
        </xdr:cNvPr>
        <xdr:cNvSpPr/>
      </xdr:nvSpPr>
      <xdr:spPr>
        <a:xfrm>
          <a:off x="16222436" y="7934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20411</xdr:colOff>
      <xdr:row>51</xdr:row>
      <xdr:rowOff>76200</xdr:rowOff>
    </xdr:from>
    <xdr:to>
      <xdr:col>77</xdr:col>
      <xdr:colOff>20411</xdr:colOff>
      <xdr:row>51</xdr:row>
      <xdr:rowOff>76200</xdr:rowOff>
    </xdr:to>
    <xdr:cxnSp macro="">
      <xdr:nvCxnSpPr>
        <xdr:cNvPr id="3831" name="직선 화살표 연결선 3830">
          <a:extLst>
            <a:ext uri="{FF2B5EF4-FFF2-40B4-BE49-F238E27FC236}">
              <a16:creationId xmlns:a16="http://schemas.microsoft.com/office/drawing/2014/main" id="{2FE2F5F1-6B5F-477D-8314-4E7A34D7F86E}"/>
            </a:ext>
          </a:extLst>
        </xdr:cNvPr>
        <xdr:cNvCxnSpPr/>
      </xdr:nvCxnSpPr>
      <xdr:spPr>
        <a:xfrm>
          <a:off x="16222436"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50</xdr:row>
      <xdr:rowOff>19050</xdr:rowOff>
    </xdr:from>
    <xdr:to>
      <xdr:col>76</xdr:col>
      <xdr:colOff>123734</xdr:colOff>
      <xdr:row>50</xdr:row>
      <xdr:rowOff>133350</xdr:rowOff>
    </xdr:to>
    <xdr:sp macro="" textlink="">
      <xdr:nvSpPr>
        <xdr:cNvPr id="3832" name="47">
          <a:extLst>
            <a:ext uri="{FF2B5EF4-FFF2-40B4-BE49-F238E27FC236}">
              <a16:creationId xmlns:a16="http://schemas.microsoft.com/office/drawing/2014/main" id="{BBA69EB4-E5BB-4D2F-A994-B56AE1466B85}"/>
            </a:ext>
          </a:extLst>
        </xdr:cNvPr>
        <xdr:cNvSpPr/>
      </xdr:nvSpPr>
      <xdr:spPr>
        <a:xfrm>
          <a:off x="15936686" y="7781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50</xdr:row>
      <xdr:rowOff>76200</xdr:rowOff>
    </xdr:from>
    <xdr:to>
      <xdr:col>75</xdr:col>
      <xdr:colOff>20411</xdr:colOff>
      <xdr:row>50</xdr:row>
      <xdr:rowOff>76200</xdr:rowOff>
    </xdr:to>
    <xdr:cxnSp macro="">
      <xdr:nvCxnSpPr>
        <xdr:cNvPr id="3833" name="직선 화살표 연결선 3832">
          <a:extLst>
            <a:ext uri="{FF2B5EF4-FFF2-40B4-BE49-F238E27FC236}">
              <a16:creationId xmlns:a16="http://schemas.microsoft.com/office/drawing/2014/main" id="{4752FC90-2F03-4D25-B67E-F2E94EA02DB9}"/>
            </a:ext>
          </a:extLst>
        </xdr:cNvPr>
        <xdr:cNvCxnSpPr/>
      </xdr:nvCxnSpPr>
      <xdr:spPr>
        <a:xfrm>
          <a:off x="15936686"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20411</xdr:colOff>
      <xdr:row>49</xdr:row>
      <xdr:rowOff>19050</xdr:rowOff>
    </xdr:from>
    <xdr:to>
      <xdr:col>74</xdr:col>
      <xdr:colOff>123734</xdr:colOff>
      <xdr:row>49</xdr:row>
      <xdr:rowOff>133350</xdr:rowOff>
    </xdr:to>
    <xdr:sp macro="" textlink="">
      <xdr:nvSpPr>
        <xdr:cNvPr id="3834" name="46">
          <a:extLst>
            <a:ext uri="{FF2B5EF4-FFF2-40B4-BE49-F238E27FC236}">
              <a16:creationId xmlns:a16="http://schemas.microsoft.com/office/drawing/2014/main" id="{C305EC31-3A71-49E1-9C0C-5A77CA0CCEF4}"/>
            </a:ext>
          </a:extLst>
        </xdr:cNvPr>
        <xdr:cNvSpPr/>
      </xdr:nvSpPr>
      <xdr:spPr>
        <a:xfrm>
          <a:off x="15650936" y="7629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20411</xdr:colOff>
      <xdr:row>49</xdr:row>
      <xdr:rowOff>76200</xdr:rowOff>
    </xdr:from>
    <xdr:to>
      <xdr:col>73</xdr:col>
      <xdr:colOff>20411</xdr:colOff>
      <xdr:row>49</xdr:row>
      <xdr:rowOff>76200</xdr:rowOff>
    </xdr:to>
    <xdr:cxnSp macro="">
      <xdr:nvCxnSpPr>
        <xdr:cNvPr id="3835" name="직선 화살표 연결선 3834">
          <a:extLst>
            <a:ext uri="{FF2B5EF4-FFF2-40B4-BE49-F238E27FC236}">
              <a16:creationId xmlns:a16="http://schemas.microsoft.com/office/drawing/2014/main" id="{C3EA2F67-FC31-48CD-97C7-710D22C08034}"/>
            </a:ext>
          </a:extLst>
        </xdr:cNvPr>
        <xdr:cNvCxnSpPr/>
      </xdr:nvCxnSpPr>
      <xdr:spPr>
        <a:xfrm>
          <a:off x="15650936"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20411</xdr:colOff>
      <xdr:row>48</xdr:row>
      <xdr:rowOff>19050</xdr:rowOff>
    </xdr:from>
    <xdr:to>
      <xdr:col>72</xdr:col>
      <xdr:colOff>123734</xdr:colOff>
      <xdr:row>48</xdr:row>
      <xdr:rowOff>133350</xdr:rowOff>
    </xdr:to>
    <xdr:sp macro="" textlink="">
      <xdr:nvSpPr>
        <xdr:cNvPr id="3836" name="45">
          <a:extLst>
            <a:ext uri="{FF2B5EF4-FFF2-40B4-BE49-F238E27FC236}">
              <a16:creationId xmlns:a16="http://schemas.microsoft.com/office/drawing/2014/main" id="{08C6ED6C-5D7D-416A-BD0E-FE2582A531C8}"/>
            </a:ext>
          </a:extLst>
        </xdr:cNvPr>
        <xdr:cNvSpPr/>
      </xdr:nvSpPr>
      <xdr:spPr>
        <a:xfrm>
          <a:off x="15365186" y="7477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20411</xdr:colOff>
      <xdr:row>48</xdr:row>
      <xdr:rowOff>76200</xdr:rowOff>
    </xdr:from>
    <xdr:to>
      <xdr:col>71</xdr:col>
      <xdr:colOff>20411</xdr:colOff>
      <xdr:row>48</xdr:row>
      <xdr:rowOff>76200</xdr:rowOff>
    </xdr:to>
    <xdr:cxnSp macro="">
      <xdr:nvCxnSpPr>
        <xdr:cNvPr id="3837" name="직선 화살표 연결선 3836">
          <a:extLst>
            <a:ext uri="{FF2B5EF4-FFF2-40B4-BE49-F238E27FC236}">
              <a16:creationId xmlns:a16="http://schemas.microsoft.com/office/drawing/2014/main" id="{2B84D09B-BAF9-4AED-9E59-2F61D97B41C2}"/>
            </a:ext>
          </a:extLst>
        </xdr:cNvPr>
        <xdr:cNvCxnSpPr/>
      </xdr:nvCxnSpPr>
      <xdr:spPr>
        <a:xfrm>
          <a:off x="15365186"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20411</xdr:colOff>
      <xdr:row>47</xdr:row>
      <xdr:rowOff>19050</xdr:rowOff>
    </xdr:from>
    <xdr:to>
      <xdr:col>70</xdr:col>
      <xdr:colOff>123734</xdr:colOff>
      <xdr:row>47</xdr:row>
      <xdr:rowOff>133350</xdr:rowOff>
    </xdr:to>
    <xdr:sp macro="" textlink="">
      <xdr:nvSpPr>
        <xdr:cNvPr id="3838" name="44">
          <a:extLst>
            <a:ext uri="{FF2B5EF4-FFF2-40B4-BE49-F238E27FC236}">
              <a16:creationId xmlns:a16="http://schemas.microsoft.com/office/drawing/2014/main" id="{474C7956-9723-4937-8AA4-FF5D7B43D1D0}"/>
            </a:ext>
          </a:extLst>
        </xdr:cNvPr>
        <xdr:cNvSpPr/>
      </xdr:nvSpPr>
      <xdr:spPr>
        <a:xfrm>
          <a:off x="15079436" y="7324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20411</xdr:colOff>
      <xdr:row>47</xdr:row>
      <xdr:rowOff>76200</xdr:rowOff>
    </xdr:from>
    <xdr:to>
      <xdr:col>69</xdr:col>
      <xdr:colOff>20411</xdr:colOff>
      <xdr:row>47</xdr:row>
      <xdr:rowOff>76200</xdr:rowOff>
    </xdr:to>
    <xdr:cxnSp macro="">
      <xdr:nvCxnSpPr>
        <xdr:cNvPr id="3839" name="직선 화살표 연결선 3838">
          <a:extLst>
            <a:ext uri="{FF2B5EF4-FFF2-40B4-BE49-F238E27FC236}">
              <a16:creationId xmlns:a16="http://schemas.microsoft.com/office/drawing/2014/main" id="{58BE774D-5973-455B-B8B4-E87D561CCE8E}"/>
            </a:ext>
          </a:extLst>
        </xdr:cNvPr>
        <xdr:cNvCxnSpPr/>
      </xdr:nvCxnSpPr>
      <xdr:spPr>
        <a:xfrm>
          <a:off x="15079436"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20411</xdr:colOff>
      <xdr:row>46</xdr:row>
      <xdr:rowOff>19050</xdr:rowOff>
    </xdr:from>
    <xdr:to>
      <xdr:col>78</xdr:col>
      <xdr:colOff>123734</xdr:colOff>
      <xdr:row>46</xdr:row>
      <xdr:rowOff>133350</xdr:rowOff>
    </xdr:to>
    <xdr:sp macro="" textlink="">
      <xdr:nvSpPr>
        <xdr:cNvPr id="30208" name="43">
          <a:extLst>
            <a:ext uri="{FF2B5EF4-FFF2-40B4-BE49-F238E27FC236}">
              <a16:creationId xmlns:a16="http://schemas.microsoft.com/office/drawing/2014/main" id="{F6D6BB86-4F7A-4FBF-A5DA-B2737AC80B36}"/>
            </a:ext>
          </a:extLst>
        </xdr:cNvPr>
        <xdr:cNvSpPr/>
      </xdr:nvSpPr>
      <xdr:spPr>
        <a:xfrm>
          <a:off x="15079436" y="7172325"/>
          <a:ext cx="1389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20411</xdr:colOff>
      <xdr:row>46</xdr:row>
      <xdr:rowOff>76200</xdr:rowOff>
    </xdr:from>
    <xdr:to>
      <xdr:col>69</xdr:col>
      <xdr:colOff>20411</xdr:colOff>
      <xdr:row>46</xdr:row>
      <xdr:rowOff>76200</xdr:rowOff>
    </xdr:to>
    <xdr:cxnSp macro="">
      <xdr:nvCxnSpPr>
        <xdr:cNvPr id="30209" name="직선 화살표 연결선 30208">
          <a:extLst>
            <a:ext uri="{FF2B5EF4-FFF2-40B4-BE49-F238E27FC236}">
              <a16:creationId xmlns:a16="http://schemas.microsoft.com/office/drawing/2014/main" id="{4FCDF889-1645-450F-B304-6201B47863C2}"/>
            </a:ext>
          </a:extLst>
        </xdr:cNvPr>
        <xdr:cNvCxnSpPr/>
      </xdr:nvCxnSpPr>
      <xdr:spPr>
        <a:xfrm>
          <a:off x="15079436"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20411</xdr:colOff>
      <xdr:row>45</xdr:row>
      <xdr:rowOff>19050</xdr:rowOff>
    </xdr:from>
    <xdr:to>
      <xdr:col>68</xdr:col>
      <xdr:colOff>123734</xdr:colOff>
      <xdr:row>45</xdr:row>
      <xdr:rowOff>133350</xdr:rowOff>
    </xdr:to>
    <xdr:sp macro="" textlink="">
      <xdr:nvSpPr>
        <xdr:cNvPr id="30210" name="42">
          <a:extLst>
            <a:ext uri="{FF2B5EF4-FFF2-40B4-BE49-F238E27FC236}">
              <a16:creationId xmlns:a16="http://schemas.microsoft.com/office/drawing/2014/main" id="{4AAB4854-1268-4BF9-B9AE-875E0A63F653}"/>
            </a:ext>
          </a:extLst>
        </xdr:cNvPr>
        <xdr:cNvSpPr/>
      </xdr:nvSpPr>
      <xdr:spPr>
        <a:xfrm>
          <a:off x="14793686" y="7019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20411</xdr:colOff>
      <xdr:row>45</xdr:row>
      <xdr:rowOff>76200</xdr:rowOff>
    </xdr:from>
    <xdr:to>
      <xdr:col>67</xdr:col>
      <xdr:colOff>20411</xdr:colOff>
      <xdr:row>45</xdr:row>
      <xdr:rowOff>76200</xdr:rowOff>
    </xdr:to>
    <xdr:cxnSp macro="">
      <xdr:nvCxnSpPr>
        <xdr:cNvPr id="30211" name="직선 화살표 연결선 30210">
          <a:extLst>
            <a:ext uri="{FF2B5EF4-FFF2-40B4-BE49-F238E27FC236}">
              <a16:creationId xmlns:a16="http://schemas.microsoft.com/office/drawing/2014/main" id="{241E26AF-5611-47E5-94B0-160353993519}"/>
            </a:ext>
          </a:extLst>
        </xdr:cNvPr>
        <xdr:cNvCxnSpPr/>
      </xdr:nvCxnSpPr>
      <xdr:spPr>
        <a:xfrm>
          <a:off x="14793686"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20411</xdr:colOff>
      <xdr:row>44</xdr:row>
      <xdr:rowOff>19050</xdr:rowOff>
    </xdr:from>
    <xdr:to>
      <xdr:col>66</xdr:col>
      <xdr:colOff>123734</xdr:colOff>
      <xdr:row>44</xdr:row>
      <xdr:rowOff>133350</xdr:rowOff>
    </xdr:to>
    <xdr:sp macro="" textlink="">
      <xdr:nvSpPr>
        <xdr:cNvPr id="30212" name="41">
          <a:extLst>
            <a:ext uri="{FF2B5EF4-FFF2-40B4-BE49-F238E27FC236}">
              <a16:creationId xmlns:a16="http://schemas.microsoft.com/office/drawing/2014/main" id="{AC177A36-6445-4626-AD5A-12B76BB944EF}"/>
            </a:ext>
          </a:extLst>
        </xdr:cNvPr>
        <xdr:cNvSpPr/>
      </xdr:nvSpPr>
      <xdr:spPr>
        <a:xfrm>
          <a:off x="14507936" y="6867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20411</xdr:colOff>
      <xdr:row>44</xdr:row>
      <xdr:rowOff>76200</xdr:rowOff>
    </xdr:from>
    <xdr:to>
      <xdr:col>65</xdr:col>
      <xdr:colOff>20411</xdr:colOff>
      <xdr:row>44</xdr:row>
      <xdr:rowOff>76200</xdr:rowOff>
    </xdr:to>
    <xdr:cxnSp macro="">
      <xdr:nvCxnSpPr>
        <xdr:cNvPr id="30213" name="직선 화살표 연결선 30212">
          <a:extLst>
            <a:ext uri="{FF2B5EF4-FFF2-40B4-BE49-F238E27FC236}">
              <a16:creationId xmlns:a16="http://schemas.microsoft.com/office/drawing/2014/main" id="{D4CE054E-5AFD-4320-9590-3447AD6E6270}"/>
            </a:ext>
          </a:extLst>
        </xdr:cNvPr>
        <xdr:cNvCxnSpPr/>
      </xdr:nvCxnSpPr>
      <xdr:spPr>
        <a:xfrm>
          <a:off x="14507936"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43</xdr:row>
      <xdr:rowOff>19050</xdr:rowOff>
    </xdr:from>
    <xdr:to>
      <xdr:col>64</xdr:col>
      <xdr:colOff>123734</xdr:colOff>
      <xdr:row>43</xdr:row>
      <xdr:rowOff>133350</xdr:rowOff>
    </xdr:to>
    <xdr:sp macro="" textlink="">
      <xdr:nvSpPr>
        <xdr:cNvPr id="30214" name="40">
          <a:extLst>
            <a:ext uri="{FF2B5EF4-FFF2-40B4-BE49-F238E27FC236}">
              <a16:creationId xmlns:a16="http://schemas.microsoft.com/office/drawing/2014/main" id="{9525FFE8-A2A4-4A0F-B3CC-5B6F0A10674E}"/>
            </a:ext>
          </a:extLst>
        </xdr:cNvPr>
        <xdr:cNvSpPr/>
      </xdr:nvSpPr>
      <xdr:spPr>
        <a:xfrm>
          <a:off x="14222186" y="67151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43</xdr:row>
      <xdr:rowOff>76200</xdr:rowOff>
    </xdr:from>
    <xdr:to>
      <xdr:col>63</xdr:col>
      <xdr:colOff>20411</xdr:colOff>
      <xdr:row>43</xdr:row>
      <xdr:rowOff>76200</xdr:rowOff>
    </xdr:to>
    <xdr:cxnSp macro="">
      <xdr:nvCxnSpPr>
        <xdr:cNvPr id="30215" name="직선 화살표 연결선 30214">
          <a:extLst>
            <a:ext uri="{FF2B5EF4-FFF2-40B4-BE49-F238E27FC236}">
              <a16:creationId xmlns:a16="http://schemas.microsoft.com/office/drawing/2014/main" id="{D19A3CB8-D908-460B-B898-8DF527C82A2F}"/>
            </a:ext>
          </a:extLst>
        </xdr:cNvPr>
        <xdr:cNvCxnSpPr/>
      </xdr:nvCxnSpPr>
      <xdr:spPr>
        <a:xfrm>
          <a:off x="14222186"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42</xdr:row>
      <xdr:rowOff>19050</xdr:rowOff>
    </xdr:from>
    <xdr:to>
      <xdr:col>62</xdr:col>
      <xdr:colOff>123734</xdr:colOff>
      <xdr:row>42</xdr:row>
      <xdr:rowOff>133350</xdr:rowOff>
    </xdr:to>
    <xdr:sp macro="" textlink="">
      <xdr:nvSpPr>
        <xdr:cNvPr id="30216" name="39">
          <a:extLst>
            <a:ext uri="{FF2B5EF4-FFF2-40B4-BE49-F238E27FC236}">
              <a16:creationId xmlns:a16="http://schemas.microsoft.com/office/drawing/2014/main" id="{A6093C0D-B035-473C-B714-81094F4542E7}"/>
            </a:ext>
          </a:extLst>
        </xdr:cNvPr>
        <xdr:cNvSpPr/>
      </xdr:nvSpPr>
      <xdr:spPr>
        <a:xfrm>
          <a:off x="13936436" y="6562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42</xdr:row>
      <xdr:rowOff>76200</xdr:rowOff>
    </xdr:from>
    <xdr:to>
      <xdr:col>61</xdr:col>
      <xdr:colOff>20411</xdr:colOff>
      <xdr:row>42</xdr:row>
      <xdr:rowOff>76200</xdr:rowOff>
    </xdr:to>
    <xdr:cxnSp macro="">
      <xdr:nvCxnSpPr>
        <xdr:cNvPr id="30217" name="직선 화살표 연결선 30216">
          <a:extLst>
            <a:ext uri="{FF2B5EF4-FFF2-40B4-BE49-F238E27FC236}">
              <a16:creationId xmlns:a16="http://schemas.microsoft.com/office/drawing/2014/main" id="{2AB66A58-091A-423E-A032-6A3179535719}"/>
            </a:ext>
          </a:extLst>
        </xdr:cNvPr>
        <xdr:cNvCxnSpPr/>
      </xdr:nvCxnSpPr>
      <xdr:spPr>
        <a:xfrm>
          <a:off x="13936436"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41</xdr:row>
      <xdr:rowOff>19050</xdr:rowOff>
    </xdr:from>
    <xdr:to>
      <xdr:col>60</xdr:col>
      <xdr:colOff>123734</xdr:colOff>
      <xdr:row>41</xdr:row>
      <xdr:rowOff>133350</xdr:rowOff>
    </xdr:to>
    <xdr:sp macro="" textlink="">
      <xdr:nvSpPr>
        <xdr:cNvPr id="30218" name="38">
          <a:extLst>
            <a:ext uri="{FF2B5EF4-FFF2-40B4-BE49-F238E27FC236}">
              <a16:creationId xmlns:a16="http://schemas.microsoft.com/office/drawing/2014/main" id="{9B842CAD-BB76-4645-9216-05754E755EF4}"/>
            </a:ext>
          </a:extLst>
        </xdr:cNvPr>
        <xdr:cNvSpPr/>
      </xdr:nvSpPr>
      <xdr:spPr>
        <a:xfrm>
          <a:off x="13650686" y="6410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41</xdr:row>
      <xdr:rowOff>76200</xdr:rowOff>
    </xdr:from>
    <xdr:to>
      <xdr:col>59</xdr:col>
      <xdr:colOff>20411</xdr:colOff>
      <xdr:row>41</xdr:row>
      <xdr:rowOff>76200</xdr:rowOff>
    </xdr:to>
    <xdr:cxnSp macro="">
      <xdr:nvCxnSpPr>
        <xdr:cNvPr id="30219" name="직선 화살표 연결선 30218">
          <a:extLst>
            <a:ext uri="{FF2B5EF4-FFF2-40B4-BE49-F238E27FC236}">
              <a16:creationId xmlns:a16="http://schemas.microsoft.com/office/drawing/2014/main" id="{DB26F45C-C238-4B3A-95F2-57FA954C13CA}"/>
            </a:ext>
          </a:extLst>
        </xdr:cNvPr>
        <xdr:cNvCxnSpPr/>
      </xdr:nvCxnSpPr>
      <xdr:spPr>
        <a:xfrm>
          <a:off x="13650686"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40</xdr:row>
      <xdr:rowOff>19050</xdr:rowOff>
    </xdr:from>
    <xdr:to>
      <xdr:col>58</xdr:col>
      <xdr:colOff>123734</xdr:colOff>
      <xdr:row>40</xdr:row>
      <xdr:rowOff>133350</xdr:rowOff>
    </xdr:to>
    <xdr:sp macro="" textlink="">
      <xdr:nvSpPr>
        <xdr:cNvPr id="30220" name="37">
          <a:extLst>
            <a:ext uri="{FF2B5EF4-FFF2-40B4-BE49-F238E27FC236}">
              <a16:creationId xmlns:a16="http://schemas.microsoft.com/office/drawing/2014/main" id="{36997EC8-5452-4AB4-BD09-9A411A922836}"/>
            </a:ext>
          </a:extLst>
        </xdr:cNvPr>
        <xdr:cNvSpPr/>
      </xdr:nvSpPr>
      <xdr:spPr>
        <a:xfrm>
          <a:off x="13364936" y="6257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40</xdr:row>
      <xdr:rowOff>76200</xdr:rowOff>
    </xdr:from>
    <xdr:to>
      <xdr:col>57</xdr:col>
      <xdr:colOff>20411</xdr:colOff>
      <xdr:row>40</xdr:row>
      <xdr:rowOff>76200</xdr:rowOff>
    </xdr:to>
    <xdr:cxnSp macro="">
      <xdr:nvCxnSpPr>
        <xdr:cNvPr id="30221" name="직선 화살표 연결선 30220">
          <a:extLst>
            <a:ext uri="{FF2B5EF4-FFF2-40B4-BE49-F238E27FC236}">
              <a16:creationId xmlns:a16="http://schemas.microsoft.com/office/drawing/2014/main" id="{348071F4-0004-46E4-B319-BC76C59AB487}"/>
            </a:ext>
          </a:extLst>
        </xdr:cNvPr>
        <xdr:cNvCxnSpPr/>
      </xdr:nvCxnSpPr>
      <xdr:spPr>
        <a:xfrm>
          <a:off x="13364936"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39</xdr:row>
      <xdr:rowOff>19050</xdr:rowOff>
    </xdr:from>
    <xdr:to>
      <xdr:col>56</xdr:col>
      <xdr:colOff>123734</xdr:colOff>
      <xdr:row>39</xdr:row>
      <xdr:rowOff>133350</xdr:rowOff>
    </xdr:to>
    <xdr:sp macro="" textlink="">
      <xdr:nvSpPr>
        <xdr:cNvPr id="30222" name="36">
          <a:extLst>
            <a:ext uri="{FF2B5EF4-FFF2-40B4-BE49-F238E27FC236}">
              <a16:creationId xmlns:a16="http://schemas.microsoft.com/office/drawing/2014/main" id="{2522415E-17EF-465E-998A-825B925D7B92}"/>
            </a:ext>
          </a:extLst>
        </xdr:cNvPr>
        <xdr:cNvSpPr/>
      </xdr:nvSpPr>
      <xdr:spPr>
        <a:xfrm>
          <a:off x="13079186" y="6105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39</xdr:row>
      <xdr:rowOff>76200</xdr:rowOff>
    </xdr:from>
    <xdr:to>
      <xdr:col>55</xdr:col>
      <xdr:colOff>20411</xdr:colOff>
      <xdr:row>39</xdr:row>
      <xdr:rowOff>76200</xdr:rowOff>
    </xdr:to>
    <xdr:cxnSp macro="">
      <xdr:nvCxnSpPr>
        <xdr:cNvPr id="30223" name="직선 화살표 연결선 30222">
          <a:extLst>
            <a:ext uri="{FF2B5EF4-FFF2-40B4-BE49-F238E27FC236}">
              <a16:creationId xmlns:a16="http://schemas.microsoft.com/office/drawing/2014/main" id="{7504C9A2-75DC-4904-9D63-FCD46DF27DCC}"/>
            </a:ext>
          </a:extLst>
        </xdr:cNvPr>
        <xdr:cNvCxnSpPr/>
      </xdr:nvCxnSpPr>
      <xdr:spPr>
        <a:xfrm>
          <a:off x="13079186"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38</xdr:row>
      <xdr:rowOff>19050</xdr:rowOff>
    </xdr:from>
    <xdr:to>
      <xdr:col>54</xdr:col>
      <xdr:colOff>123734</xdr:colOff>
      <xdr:row>38</xdr:row>
      <xdr:rowOff>133350</xdr:rowOff>
    </xdr:to>
    <xdr:sp macro="" textlink="">
      <xdr:nvSpPr>
        <xdr:cNvPr id="30224" name="35">
          <a:extLst>
            <a:ext uri="{FF2B5EF4-FFF2-40B4-BE49-F238E27FC236}">
              <a16:creationId xmlns:a16="http://schemas.microsoft.com/office/drawing/2014/main" id="{1042D9DE-AFE3-42E9-8E93-B0358CD2086D}"/>
            </a:ext>
          </a:extLst>
        </xdr:cNvPr>
        <xdr:cNvSpPr/>
      </xdr:nvSpPr>
      <xdr:spPr>
        <a:xfrm>
          <a:off x="12793435" y="5953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38</xdr:row>
      <xdr:rowOff>76200</xdr:rowOff>
    </xdr:from>
    <xdr:to>
      <xdr:col>53</xdr:col>
      <xdr:colOff>20410</xdr:colOff>
      <xdr:row>38</xdr:row>
      <xdr:rowOff>76200</xdr:rowOff>
    </xdr:to>
    <xdr:cxnSp macro="">
      <xdr:nvCxnSpPr>
        <xdr:cNvPr id="30225" name="직선 화살표 연결선 30224">
          <a:extLst>
            <a:ext uri="{FF2B5EF4-FFF2-40B4-BE49-F238E27FC236}">
              <a16:creationId xmlns:a16="http://schemas.microsoft.com/office/drawing/2014/main" id="{F27C7560-3354-4D8F-858C-CE567FDE1D33}"/>
            </a:ext>
          </a:extLst>
        </xdr:cNvPr>
        <xdr:cNvCxnSpPr/>
      </xdr:nvCxnSpPr>
      <xdr:spPr>
        <a:xfrm>
          <a:off x="12793435"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20410</xdr:colOff>
      <xdr:row>37</xdr:row>
      <xdr:rowOff>19050</xdr:rowOff>
    </xdr:from>
    <xdr:to>
      <xdr:col>52</xdr:col>
      <xdr:colOff>123734</xdr:colOff>
      <xdr:row>37</xdr:row>
      <xdr:rowOff>133350</xdr:rowOff>
    </xdr:to>
    <xdr:sp macro="" textlink="">
      <xdr:nvSpPr>
        <xdr:cNvPr id="30226" name="34">
          <a:extLst>
            <a:ext uri="{FF2B5EF4-FFF2-40B4-BE49-F238E27FC236}">
              <a16:creationId xmlns:a16="http://schemas.microsoft.com/office/drawing/2014/main" id="{A4AFDA55-C4C3-40D2-9A02-A83FCC088331}"/>
            </a:ext>
          </a:extLst>
        </xdr:cNvPr>
        <xdr:cNvSpPr/>
      </xdr:nvSpPr>
      <xdr:spPr>
        <a:xfrm>
          <a:off x="12507685" y="5800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20410</xdr:colOff>
      <xdr:row>37</xdr:row>
      <xdr:rowOff>76200</xdr:rowOff>
    </xdr:from>
    <xdr:to>
      <xdr:col>51</xdr:col>
      <xdr:colOff>20410</xdr:colOff>
      <xdr:row>37</xdr:row>
      <xdr:rowOff>76200</xdr:rowOff>
    </xdr:to>
    <xdr:cxnSp macro="">
      <xdr:nvCxnSpPr>
        <xdr:cNvPr id="30227" name="직선 화살표 연결선 30226">
          <a:extLst>
            <a:ext uri="{FF2B5EF4-FFF2-40B4-BE49-F238E27FC236}">
              <a16:creationId xmlns:a16="http://schemas.microsoft.com/office/drawing/2014/main" id="{6B404220-0CF7-41EC-AFCB-5A46E5A4E470}"/>
            </a:ext>
          </a:extLst>
        </xdr:cNvPr>
        <xdr:cNvCxnSpPr/>
      </xdr:nvCxnSpPr>
      <xdr:spPr>
        <a:xfrm>
          <a:off x="12507685"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36</xdr:row>
      <xdr:rowOff>19050</xdr:rowOff>
    </xdr:from>
    <xdr:to>
      <xdr:col>50</xdr:col>
      <xdr:colOff>123734</xdr:colOff>
      <xdr:row>36</xdr:row>
      <xdr:rowOff>133350</xdr:rowOff>
    </xdr:to>
    <xdr:sp macro="" textlink="">
      <xdr:nvSpPr>
        <xdr:cNvPr id="30228" name="33">
          <a:extLst>
            <a:ext uri="{FF2B5EF4-FFF2-40B4-BE49-F238E27FC236}">
              <a16:creationId xmlns:a16="http://schemas.microsoft.com/office/drawing/2014/main" id="{0142E0EA-4DD4-4E5F-BD0B-955AE8475C0C}"/>
            </a:ext>
          </a:extLst>
        </xdr:cNvPr>
        <xdr:cNvSpPr/>
      </xdr:nvSpPr>
      <xdr:spPr>
        <a:xfrm>
          <a:off x="12221935" y="5648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36</xdr:row>
      <xdr:rowOff>76200</xdr:rowOff>
    </xdr:from>
    <xdr:to>
      <xdr:col>49</xdr:col>
      <xdr:colOff>20410</xdr:colOff>
      <xdr:row>36</xdr:row>
      <xdr:rowOff>76200</xdr:rowOff>
    </xdr:to>
    <xdr:cxnSp macro="">
      <xdr:nvCxnSpPr>
        <xdr:cNvPr id="30229" name="직선 화살표 연결선 30228">
          <a:extLst>
            <a:ext uri="{FF2B5EF4-FFF2-40B4-BE49-F238E27FC236}">
              <a16:creationId xmlns:a16="http://schemas.microsoft.com/office/drawing/2014/main" id="{A0FB11AF-4260-48D8-A797-911BE7AA8A4D}"/>
            </a:ext>
          </a:extLst>
        </xdr:cNvPr>
        <xdr:cNvCxnSpPr/>
      </xdr:nvCxnSpPr>
      <xdr:spPr>
        <a:xfrm>
          <a:off x="12221935"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35</xdr:row>
      <xdr:rowOff>19050</xdr:rowOff>
    </xdr:from>
    <xdr:to>
      <xdr:col>48</xdr:col>
      <xdr:colOff>123734</xdr:colOff>
      <xdr:row>35</xdr:row>
      <xdr:rowOff>133350</xdr:rowOff>
    </xdr:to>
    <xdr:sp macro="" textlink="">
      <xdr:nvSpPr>
        <xdr:cNvPr id="30230" name="32">
          <a:extLst>
            <a:ext uri="{FF2B5EF4-FFF2-40B4-BE49-F238E27FC236}">
              <a16:creationId xmlns:a16="http://schemas.microsoft.com/office/drawing/2014/main" id="{73AD9E38-8F6D-4D79-80F9-12EC3E553014}"/>
            </a:ext>
          </a:extLst>
        </xdr:cNvPr>
        <xdr:cNvSpPr/>
      </xdr:nvSpPr>
      <xdr:spPr>
        <a:xfrm>
          <a:off x="11936185" y="5495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35</xdr:row>
      <xdr:rowOff>76200</xdr:rowOff>
    </xdr:from>
    <xdr:to>
      <xdr:col>47</xdr:col>
      <xdr:colOff>20410</xdr:colOff>
      <xdr:row>35</xdr:row>
      <xdr:rowOff>76200</xdr:rowOff>
    </xdr:to>
    <xdr:cxnSp macro="">
      <xdr:nvCxnSpPr>
        <xdr:cNvPr id="30231" name="직선 화살표 연결선 30230">
          <a:extLst>
            <a:ext uri="{FF2B5EF4-FFF2-40B4-BE49-F238E27FC236}">
              <a16:creationId xmlns:a16="http://schemas.microsoft.com/office/drawing/2014/main" id="{B808F197-6489-4A61-9046-AAAC786ADC7E}"/>
            </a:ext>
          </a:extLst>
        </xdr:cNvPr>
        <xdr:cNvCxnSpPr/>
      </xdr:nvCxnSpPr>
      <xdr:spPr>
        <a:xfrm>
          <a:off x="11936185"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34</xdr:row>
      <xdr:rowOff>19050</xdr:rowOff>
    </xdr:from>
    <xdr:to>
      <xdr:col>68</xdr:col>
      <xdr:colOff>123734</xdr:colOff>
      <xdr:row>34</xdr:row>
      <xdr:rowOff>133350</xdr:rowOff>
    </xdr:to>
    <xdr:sp macro="" textlink="">
      <xdr:nvSpPr>
        <xdr:cNvPr id="30232" name="31">
          <a:extLst>
            <a:ext uri="{FF2B5EF4-FFF2-40B4-BE49-F238E27FC236}">
              <a16:creationId xmlns:a16="http://schemas.microsoft.com/office/drawing/2014/main" id="{5F579B2E-21D5-4BB1-BD0A-9EB6C9279EE5}"/>
            </a:ext>
          </a:extLst>
        </xdr:cNvPr>
        <xdr:cNvSpPr/>
      </xdr:nvSpPr>
      <xdr:spPr>
        <a:xfrm>
          <a:off x="11936185" y="5343525"/>
          <a:ext cx="3103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34</xdr:row>
      <xdr:rowOff>76200</xdr:rowOff>
    </xdr:from>
    <xdr:to>
      <xdr:col>47</xdr:col>
      <xdr:colOff>20410</xdr:colOff>
      <xdr:row>34</xdr:row>
      <xdr:rowOff>76200</xdr:rowOff>
    </xdr:to>
    <xdr:cxnSp macro="">
      <xdr:nvCxnSpPr>
        <xdr:cNvPr id="30233" name="직선 화살표 연결선 30232">
          <a:extLst>
            <a:ext uri="{FF2B5EF4-FFF2-40B4-BE49-F238E27FC236}">
              <a16:creationId xmlns:a16="http://schemas.microsoft.com/office/drawing/2014/main" id="{8FC8C936-27ED-44ED-B802-0379E72B02E5}"/>
            </a:ext>
          </a:extLst>
        </xdr:cNvPr>
        <xdr:cNvCxnSpPr/>
      </xdr:nvCxnSpPr>
      <xdr:spPr>
        <a:xfrm>
          <a:off x="11936185"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33</xdr:row>
      <xdr:rowOff>19050</xdr:rowOff>
    </xdr:from>
    <xdr:to>
      <xdr:col>46</xdr:col>
      <xdr:colOff>123734</xdr:colOff>
      <xdr:row>33</xdr:row>
      <xdr:rowOff>133350</xdr:rowOff>
    </xdr:to>
    <xdr:sp macro="" textlink="">
      <xdr:nvSpPr>
        <xdr:cNvPr id="30234" name="30">
          <a:extLst>
            <a:ext uri="{FF2B5EF4-FFF2-40B4-BE49-F238E27FC236}">
              <a16:creationId xmlns:a16="http://schemas.microsoft.com/office/drawing/2014/main" id="{61E2840E-78F2-458B-AEBC-9C28AFA5A463}"/>
            </a:ext>
          </a:extLst>
        </xdr:cNvPr>
        <xdr:cNvSpPr/>
      </xdr:nvSpPr>
      <xdr:spPr>
        <a:xfrm>
          <a:off x="11650435" y="5191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33</xdr:row>
      <xdr:rowOff>76200</xdr:rowOff>
    </xdr:from>
    <xdr:to>
      <xdr:col>45</xdr:col>
      <xdr:colOff>20410</xdr:colOff>
      <xdr:row>33</xdr:row>
      <xdr:rowOff>76200</xdr:rowOff>
    </xdr:to>
    <xdr:cxnSp macro="">
      <xdr:nvCxnSpPr>
        <xdr:cNvPr id="30235" name="직선 화살표 연결선 30234">
          <a:extLst>
            <a:ext uri="{FF2B5EF4-FFF2-40B4-BE49-F238E27FC236}">
              <a16:creationId xmlns:a16="http://schemas.microsoft.com/office/drawing/2014/main" id="{BFA9888E-E8EC-4D65-9797-B8659EDDB410}"/>
            </a:ext>
          </a:extLst>
        </xdr:cNvPr>
        <xdr:cNvCxnSpPr/>
      </xdr:nvCxnSpPr>
      <xdr:spPr>
        <a:xfrm>
          <a:off x="11650435"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32</xdr:row>
      <xdr:rowOff>19050</xdr:rowOff>
    </xdr:from>
    <xdr:to>
      <xdr:col>44</xdr:col>
      <xdr:colOff>123734</xdr:colOff>
      <xdr:row>32</xdr:row>
      <xdr:rowOff>133350</xdr:rowOff>
    </xdr:to>
    <xdr:sp macro="" textlink="">
      <xdr:nvSpPr>
        <xdr:cNvPr id="30236" name="29">
          <a:extLst>
            <a:ext uri="{FF2B5EF4-FFF2-40B4-BE49-F238E27FC236}">
              <a16:creationId xmlns:a16="http://schemas.microsoft.com/office/drawing/2014/main" id="{738394F2-0D6A-4C99-B491-0F8E2849553E}"/>
            </a:ext>
          </a:extLst>
        </xdr:cNvPr>
        <xdr:cNvSpPr/>
      </xdr:nvSpPr>
      <xdr:spPr>
        <a:xfrm>
          <a:off x="11364685" y="5038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32</xdr:row>
      <xdr:rowOff>76200</xdr:rowOff>
    </xdr:from>
    <xdr:to>
      <xdr:col>43</xdr:col>
      <xdr:colOff>20410</xdr:colOff>
      <xdr:row>32</xdr:row>
      <xdr:rowOff>76200</xdr:rowOff>
    </xdr:to>
    <xdr:cxnSp macro="">
      <xdr:nvCxnSpPr>
        <xdr:cNvPr id="30237" name="직선 화살표 연결선 30236">
          <a:extLst>
            <a:ext uri="{FF2B5EF4-FFF2-40B4-BE49-F238E27FC236}">
              <a16:creationId xmlns:a16="http://schemas.microsoft.com/office/drawing/2014/main" id="{BE9BB5F6-D324-4AF3-BA18-3BE07B9D7E55}"/>
            </a:ext>
          </a:extLst>
        </xdr:cNvPr>
        <xdr:cNvCxnSpPr/>
      </xdr:nvCxnSpPr>
      <xdr:spPr>
        <a:xfrm>
          <a:off x="11364685"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31</xdr:row>
      <xdr:rowOff>19050</xdr:rowOff>
    </xdr:from>
    <xdr:to>
      <xdr:col>42</xdr:col>
      <xdr:colOff>123734</xdr:colOff>
      <xdr:row>31</xdr:row>
      <xdr:rowOff>133350</xdr:rowOff>
    </xdr:to>
    <xdr:sp macro="" textlink="">
      <xdr:nvSpPr>
        <xdr:cNvPr id="30238" name="28">
          <a:extLst>
            <a:ext uri="{FF2B5EF4-FFF2-40B4-BE49-F238E27FC236}">
              <a16:creationId xmlns:a16="http://schemas.microsoft.com/office/drawing/2014/main" id="{33857A2A-20DD-4153-827F-4A7D1EFAB07C}"/>
            </a:ext>
          </a:extLst>
        </xdr:cNvPr>
        <xdr:cNvSpPr/>
      </xdr:nvSpPr>
      <xdr:spPr>
        <a:xfrm>
          <a:off x="11078935" y="4886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31</xdr:row>
      <xdr:rowOff>76200</xdr:rowOff>
    </xdr:from>
    <xdr:to>
      <xdr:col>41</xdr:col>
      <xdr:colOff>20410</xdr:colOff>
      <xdr:row>31</xdr:row>
      <xdr:rowOff>76200</xdr:rowOff>
    </xdr:to>
    <xdr:cxnSp macro="">
      <xdr:nvCxnSpPr>
        <xdr:cNvPr id="30239" name="직선 화살표 연결선 30238">
          <a:extLst>
            <a:ext uri="{FF2B5EF4-FFF2-40B4-BE49-F238E27FC236}">
              <a16:creationId xmlns:a16="http://schemas.microsoft.com/office/drawing/2014/main" id="{ACE45ADD-9199-46C2-9260-BB84037C8663}"/>
            </a:ext>
          </a:extLst>
        </xdr:cNvPr>
        <xdr:cNvCxnSpPr/>
      </xdr:nvCxnSpPr>
      <xdr:spPr>
        <a:xfrm>
          <a:off x="11078935"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30</xdr:row>
      <xdr:rowOff>19050</xdr:rowOff>
    </xdr:from>
    <xdr:to>
      <xdr:col>40</xdr:col>
      <xdr:colOff>123734</xdr:colOff>
      <xdr:row>30</xdr:row>
      <xdr:rowOff>133350</xdr:rowOff>
    </xdr:to>
    <xdr:sp macro="" textlink="">
      <xdr:nvSpPr>
        <xdr:cNvPr id="30240" name="27">
          <a:extLst>
            <a:ext uri="{FF2B5EF4-FFF2-40B4-BE49-F238E27FC236}">
              <a16:creationId xmlns:a16="http://schemas.microsoft.com/office/drawing/2014/main" id="{8849C2C1-D571-45C3-ADDA-18BD9D8508B7}"/>
            </a:ext>
          </a:extLst>
        </xdr:cNvPr>
        <xdr:cNvSpPr/>
      </xdr:nvSpPr>
      <xdr:spPr>
        <a:xfrm>
          <a:off x="10793185" y="4733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30</xdr:row>
      <xdr:rowOff>76200</xdr:rowOff>
    </xdr:from>
    <xdr:to>
      <xdr:col>39</xdr:col>
      <xdr:colOff>20410</xdr:colOff>
      <xdr:row>30</xdr:row>
      <xdr:rowOff>76200</xdr:rowOff>
    </xdr:to>
    <xdr:cxnSp macro="">
      <xdr:nvCxnSpPr>
        <xdr:cNvPr id="30241" name="직선 화살표 연결선 30240">
          <a:extLst>
            <a:ext uri="{FF2B5EF4-FFF2-40B4-BE49-F238E27FC236}">
              <a16:creationId xmlns:a16="http://schemas.microsoft.com/office/drawing/2014/main" id="{F18C547C-386B-42D2-AA9B-DCF32D9E06AF}"/>
            </a:ext>
          </a:extLst>
        </xdr:cNvPr>
        <xdr:cNvCxnSpPr/>
      </xdr:nvCxnSpPr>
      <xdr:spPr>
        <a:xfrm>
          <a:off x="10793185"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29</xdr:row>
      <xdr:rowOff>19050</xdr:rowOff>
    </xdr:from>
    <xdr:to>
      <xdr:col>46</xdr:col>
      <xdr:colOff>123734</xdr:colOff>
      <xdr:row>29</xdr:row>
      <xdr:rowOff>133350</xdr:rowOff>
    </xdr:to>
    <xdr:sp macro="" textlink="">
      <xdr:nvSpPr>
        <xdr:cNvPr id="30242" name="26">
          <a:extLst>
            <a:ext uri="{FF2B5EF4-FFF2-40B4-BE49-F238E27FC236}">
              <a16:creationId xmlns:a16="http://schemas.microsoft.com/office/drawing/2014/main" id="{CD1ECCD5-B4C7-4379-B276-33DB1E5F4668}"/>
            </a:ext>
          </a:extLst>
        </xdr:cNvPr>
        <xdr:cNvSpPr/>
      </xdr:nvSpPr>
      <xdr:spPr>
        <a:xfrm>
          <a:off x="10793185" y="45815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29</xdr:row>
      <xdr:rowOff>76200</xdr:rowOff>
    </xdr:from>
    <xdr:to>
      <xdr:col>39</xdr:col>
      <xdr:colOff>20410</xdr:colOff>
      <xdr:row>29</xdr:row>
      <xdr:rowOff>76200</xdr:rowOff>
    </xdr:to>
    <xdr:cxnSp macro="">
      <xdr:nvCxnSpPr>
        <xdr:cNvPr id="30243" name="직선 화살표 연결선 30242">
          <a:extLst>
            <a:ext uri="{FF2B5EF4-FFF2-40B4-BE49-F238E27FC236}">
              <a16:creationId xmlns:a16="http://schemas.microsoft.com/office/drawing/2014/main" id="{F09645EB-B022-44EF-A665-EED33F53428A}"/>
            </a:ext>
          </a:extLst>
        </xdr:cNvPr>
        <xdr:cNvCxnSpPr/>
      </xdr:nvCxnSpPr>
      <xdr:spPr>
        <a:xfrm>
          <a:off x="10793185"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28</xdr:row>
      <xdr:rowOff>19050</xdr:rowOff>
    </xdr:from>
    <xdr:to>
      <xdr:col>38</xdr:col>
      <xdr:colOff>123734</xdr:colOff>
      <xdr:row>28</xdr:row>
      <xdr:rowOff>133350</xdr:rowOff>
    </xdr:to>
    <xdr:sp macro="" textlink="">
      <xdr:nvSpPr>
        <xdr:cNvPr id="30244" name="25">
          <a:extLst>
            <a:ext uri="{FF2B5EF4-FFF2-40B4-BE49-F238E27FC236}">
              <a16:creationId xmlns:a16="http://schemas.microsoft.com/office/drawing/2014/main" id="{75911BE9-F1DD-4319-AD81-50BA8290E23F}"/>
            </a:ext>
          </a:extLst>
        </xdr:cNvPr>
        <xdr:cNvSpPr/>
      </xdr:nvSpPr>
      <xdr:spPr>
        <a:xfrm>
          <a:off x="10507435" y="4429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28</xdr:row>
      <xdr:rowOff>76200</xdr:rowOff>
    </xdr:from>
    <xdr:to>
      <xdr:col>37</xdr:col>
      <xdr:colOff>20410</xdr:colOff>
      <xdr:row>28</xdr:row>
      <xdr:rowOff>76200</xdr:rowOff>
    </xdr:to>
    <xdr:cxnSp macro="">
      <xdr:nvCxnSpPr>
        <xdr:cNvPr id="30245" name="직선 화살표 연결선 30244">
          <a:extLst>
            <a:ext uri="{FF2B5EF4-FFF2-40B4-BE49-F238E27FC236}">
              <a16:creationId xmlns:a16="http://schemas.microsoft.com/office/drawing/2014/main" id="{007B2CDA-9170-4EBF-9606-6F530E672CE0}"/>
            </a:ext>
          </a:extLst>
        </xdr:cNvPr>
        <xdr:cNvCxnSpPr/>
      </xdr:nvCxnSpPr>
      <xdr:spPr>
        <a:xfrm>
          <a:off x="10507435"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27</xdr:row>
      <xdr:rowOff>19050</xdr:rowOff>
    </xdr:from>
    <xdr:to>
      <xdr:col>36</xdr:col>
      <xdr:colOff>123734</xdr:colOff>
      <xdr:row>27</xdr:row>
      <xdr:rowOff>133350</xdr:rowOff>
    </xdr:to>
    <xdr:sp macro="" textlink="">
      <xdr:nvSpPr>
        <xdr:cNvPr id="30246" name="24">
          <a:extLst>
            <a:ext uri="{FF2B5EF4-FFF2-40B4-BE49-F238E27FC236}">
              <a16:creationId xmlns:a16="http://schemas.microsoft.com/office/drawing/2014/main" id="{24F1E609-A2E8-40EF-A13E-A14AC4DF187F}"/>
            </a:ext>
          </a:extLst>
        </xdr:cNvPr>
        <xdr:cNvSpPr/>
      </xdr:nvSpPr>
      <xdr:spPr>
        <a:xfrm>
          <a:off x="10221685" y="427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27</xdr:row>
      <xdr:rowOff>76200</xdr:rowOff>
    </xdr:from>
    <xdr:to>
      <xdr:col>35</xdr:col>
      <xdr:colOff>20410</xdr:colOff>
      <xdr:row>27</xdr:row>
      <xdr:rowOff>76200</xdr:rowOff>
    </xdr:to>
    <xdr:cxnSp macro="">
      <xdr:nvCxnSpPr>
        <xdr:cNvPr id="30247" name="직선 화살표 연결선 30246">
          <a:extLst>
            <a:ext uri="{FF2B5EF4-FFF2-40B4-BE49-F238E27FC236}">
              <a16:creationId xmlns:a16="http://schemas.microsoft.com/office/drawing/2014/main" id="{93BA8B56-B80F-47C9-9F4F-2D44DEF8116C}"/>
            </a:ext>
          </a:extLst>
        </xdr:cNvPr>
        <xdr:cNvCxnSpPr/>
      </xdr:nvCxnSpPr>
      <xdr:spPr>
        <a:xfrm>
          <a:off x="10221685"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26</xdr:row>
      <xdr:rowOff>19050</xdr:rowOff>
    </xdr:from>
    <xdr:to>
      <xdr:col>34</xdr:col>
      <xdr:colOff>123734</xdr:colOff>
      <xdr:row>26</xdr:row>
      <xdr:rowOff>133350</xdr:rowOff>
    </xdr:to>
    <xdr:sp macro="" textlink="">
      <xdr:nvSpPr>
        <xdr:cNvPr id="30248" name="23">
          <a:extLst>
            <a:ext uri="{FF2B5EF4-FFF2-40B4-BE49-F238E27FC236}">
              <a16:creationId xmlns:a16="http://schemas.microsoft.com/office/drawing/2014/main" id="{B4C7BAFF-68F6-43EC-863F-3A75EEFC82A7}"/>
            </a:ext>
          </a:extLst>
        </xdr:cNvPr>
        <xdr:cNvSpPr/>
      </xdr:nvSpPr>
      <xdr:spPr>
        <a:xfrm>
          <a:off x="9935935" y="4124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26</xdr:row>
      <xdr:rowOff>76200</xdr:rowOff>
    </xdr:from>
    <xdr:to>
      <xdr:col>33</xdr:col>
      <xdr:colOff>20410</xdr:colOff>
      <xdr:row>26</xdr:row>
      <xdr:rowOff>76200</xdr:rowOff>
    </xdr:to>
    <xdr:cxnSp macro="">
      <xdr:nvCxnSpPr>
        <xdr:cNvPr id="30249" name="직선 화살표 연결선 30248">
          <a:extLst>
            <a:ext uri="{FF2B5EF4-FFF2-40B4-BE49-F238E27FC236}">
              <a16:creationId xmlns:a16="http://schemas.microsoft.com/office/drawing/2014/main" id="{9EA2A719-DD47-48C2-B056-CF89F10BB490}"/>
            </a:ext>
          </a:extLst>
        </xdr:cNvPr>
        <xdr:cNvCxnSpPr/>
      </xdr:nvCxnSpPr>
      <xdr:spPr>
        <a:xfrm>
          <a:off x="9935935"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25</xdr:row>
      <xdr:rowOff>19050</xdr:rowOff>
    </xdr:from>
    <xdr:to>
      <xdr:col>32</xdr:col>
      <xdr:colOff>123734</xdr:colOff>
      <xdr:row>25</xdr:row>
      <xdr:rowOff>133350</xdr:rowOff>
    </xdr:to>
    <xdr:sp macro="" textlink="">
      <xdr:nvSpPr>
        <xdr:cNvPr id="30250" name="22">
          <a:extLst>
            <a:ext uri="{FF2B5EF4-FFF2-40B4-BE49-F238E27FC236}">
              <a16:creationId xmlns:a16="http://schemas.microsoft.com/office/drawing/2014/main" id="{1AD348B4-5C36-45E1-B1A4-0D42F63BC7B8}"/>
            </a:ext>
          </a:extLst>
        </xdr:cNvPr>
        <xdr:cNvSpPr/>
      </xdr:nvSpPr>
      <xdr:spPr>
        <a:xfrm>
          <a:off x="9650185" y="3971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25</xdr:row>
      <xdr:rowOff>76200</xdr:rowOff>
    </xdr:from>
    <xdr:to>
      <xdr:col>31</xdr:col>
      <xdr:colOff>20410</xdr:colOff>
      <xdr:row>25</xdr:row>
      <xdr:rowOff>76200</xdr:rowOff>
    </xdr:to>
    <xdr:cxnSp macro="">
      <xdr:nvCxnSpPr>
        <xdr:cNvPr id="30251" name="직선 화살표 연결선 30250">
          <a:extLst>
            <a:ext uri="{FF2B5EF4-FFF2-40B4-BE49-F238E27FC236}">
              <a16:creationId xmlns:a16="http://schemas.microsoft.com/office/drawing/2014/main" id="{814579CD-D55D-4327-B4CD-76430973A2CA}"/>
            </a:ext>
          </a:extLst>
        </xdr:cNvPr>
        <xdr:cNvCxnSpPr/>
      </xdr:nvCxnSpPr>
      <xdr:spPr>
        <a:xfrm>
          <a:off x="9650185"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24</xdr:row>
      <xdr:rowOff>19050</xdr:rowOff>
    </xdr:from>
    <xdr:to>
      <xdr:col>38</xdr:col>
      <xdr:colOff>123734</xdr:colOff>
      <xdr:row>24</xdr:row>
      <xdr:rowOff>133350</xdr:rowOff>
    </xdr:to>
    <xdr:sp macro="" textlink="">
      <xdr:nvSpPr>
        <xdr:cNvPr id="30252" name="21">
          <a:extLst>
            <a:ext uri="{FF2B5EF4-FFF2-40B4-BE49-F238E27FC236}">
              <a16:creationId xmlns:a16="http://schemas.microsoft.com/office/drawing/2014/main" id="{142DA363-9152-4F49-B255-368E63996CE6}"/>
            </a:ext>
          </a:extLst>
        </xdr:cNvPr>
        <xdr:cNvSpPr/>
      </xdr:nvSpPr>
      <xdr:spPr>
        <a:xfrm>
          <a:off x="9650185" y="38195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24</xdr:row>
      <xdr:rowOff>76200</xdr:rowOff>
    </xdr:from>
    <xdr:to>
      <xdr:col>31</xdr:col>
      <xdr:colOff>20410</xdr:colOff>
      <xdr:row>24</xdr:row>
      <xdr:rowOff>76200</xdr:rowOff>
    </xdr:to>
    <xdr:cxnSp macro="">
      <xdr:nvCxnSpPr>
        <xdr:cNvPr id="30253" name="직선 화살표 연결선 30252">
          <a:extLst>
            <a:ext uri="{FF2B5EF4-FFF2-40B4-BE49-F238E27FC236}">
              <a16:creationId xmlns:a16="http://schemas.microsoft.com/office/drawing/2014/main" id="{15E70165-70F6-4F6E-9577-6ABB0E820A5B}"/>
            </a:ext>
          </a:extLst>
        </xdr:cNvPr>
        <xdr:cNvCxnSpPr/>
      </xdr:nvCxnSpPr>
      <xdr:spPr>
        <a:xfrm>
          <a:off x="9650185"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23</xdr:row>
      <xdr:rowOff>19050</xdr:rowOff>
    </xdr:from>
    <xdr:to>
      <xdr:col>82</xdr:col>
      <xdr:colOff>123734</xdr:colOff>
      <xdr:row>23</xdr:row>
      <xdr:rowOff>133350</xdr:rowOff>
    </xdr:to>
    <xdr:sp macro="" textlink="">
      <xdr:nvSpPr>
        <xdr:cNvPr id="30254" name="20">
          <a:extLst>
            <a:ext uri="{FF2B5EF4-FFF2-40B4-BE49-F238E27FC236}">
              <a16:creationId xmlns:a16="http://schemas.microsoft.com/office/drawing/2014/main" id="{E8DC258F-41BD-402A-850E-BA24FDD02635}"/>
            </a:ext>
          </a:extLst>
        </xdr:cNvPr>
        <xdr:cNvSpPr/>
      </xdr:nvSpPr>
      <xdr:spPr>
        <a:xfrm>
          <a:off x="9650185" y="3667125"/>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23</xdr:row>
      <xdr:rowOff>76200</xdr:rowOff>
    </xdr:from>
    <xdr:to>
      <xdr:col>31</xdr:col>
      <xdr:colOff>20410</xdr:colOff>
      <xdr:row>23</xdr:row>
      <xdr:rowOff>76200</xdr:rowOff>
    </xdr:to>
    <xdr:cxnSp macro="">
      <xdr:nvCxnSpPr>
        <xdr:cNvPr id="30255" name="직선 화살표 연결선 30254">
          <a:extLst>
            <a:ext uri="{FF2B5EF4-FFF2-40B4-BE49-F238E27FC236}">
              <a16:creationId xmlns:a16="http://schemas.microsoft.com/office/drawing/2014/main" id="{EF07026D-5C0E-4C83-BC22-5E90C05842D9}"/>
            </a:ext>
          </a:extLst>
        </xdr:cNvPr>
        <xdr:cNvCxnSpPr/>
      </xdr:nvCxnSpPr>
      <xdr:spPr>
        <a:xfrm>
          <a:off x="9650185"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22</xdr:row>
      <xdr:rowOff>19050</xdr:rowOff>
    </xdr:from>
    <xdr:to>
      <xdr:col>60</xdr:col>
      <xdr:colOff>123734</xdr:colOff>
      <xdr:row>22</xdr:row>
      <xdr:rowOff>133350</xdr:rowOff>
    </xdr:to>
    <xdr:sp macro="" textlink="">
      <xdr:nvSpPr>
        <xdr:cNvPr id="30256" name="19">
          <a:extLst>
            <a:ext uri="{FF2B5EF4-FFF2-40B4-BE49-F238E27FC236}">
              <a16:creationId xmlns:a16="http://schemas.microsoft.com/office/drawing/2014/main" id="{8AC97441-B826-4012-BD0F-AF55B83201C2}"/>
            </a:ext>
          </a:extLst>
        </xdr:cNvPr>
        <xdr:cNvSpPr/>
      </xdr:nvSpPr>
      <xdr:spPr>
        <a:xfrm>
          <a:off x="13650686" y="35147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22</xdr:row>
      <xdr:rowOff>76200</xdr:rowOff>
    </xdr:from>
    <xdr:to>
      <xdr:col>59</xdr:col>
      <xdr:colOff>20411</xdr:colOff>
      <xdr:row>22</xdr:row>
      <xdr:rowOff>76200</xdr:rowOff>
    </xdr:to>
    <xdr:cxnSp macro="">
      <xdr:nvCxnSpPr>
        <xdr:cNvPr id="30257" name="직선 화살표 연결선 30256">
          <a:extLst>
            <a:ext uri="{FF2B5EF4-FFF2-40B4-BE49-F238E27FC236}">
              <a16:creationId xmlns:a16="http://schemas.microsoft.com/office/drawing/2014/main" id="{4A0C6051-8510-4A62-9E49-72C50FF56E00}"/>
            </a:ext>
          </a:extLst>
        </xdr:cNvPr>
        <xdr:cNvCxnSpPr/>
      </xdr:nvCxnSpPr>
      <xdr:spPr>
        <a:xfrm>
          <a:off x="1365068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21</xdr:row>
      <xdr:rowOff>19050</xdr:rowOff>
    </xdr:from>
    <xdr:to>
      <xdr:col>58</xdr:col>
      <xdr:colOff>123734</xdr:colOff>
      <xdr:row>21</xdr:row>
      <xdr:rowOff>133350</xdr:rowOff>
    </xdr:to>
    <xdr:sp macro="" textlink="">
      <xdr:nvSpPr>
        <xdr:cNvPr id="30258" name="18">
          <a:extLst>
            <a:ext uri="{FF2B5EF4-FFF2-40B4-BE49-F238E27FC236}">
              <a16:creationId xmlns:a16="http://schemas.microsoft.com/office/drawing/2014/main" id="{10F2AEC1-DEEC-4F0F-821F-9861D2667316}"/>
            </a:ext>
          </a:extLst>
        </xdr:cNvPr>
        <xdr:cNvSpPr/>
      </xdr:nvSpPr>
      <xdr:spPr>
        <a:xfrm>
          <a:off x="13364936" y="3362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21</xdr:row>
      <xdr:rowOff>76200</xdr:rowOff>
    </xdr:from>
    <xdr:to>
      <xdr:col>57</xdr:col>
      <xdr:colOff>20411</xdr:colOff>
      <xdr:row>21</xdr:row>
      <xdr:rowOff>76200</xdr:rowOff>
    </xdr:to>
    <xdr:cxnSp macro="">
      <xdr:nvCxnSpPr>
        <xdr:cNvPr id="30259" name="직선 화살표 연결선 30258">
          <a:extLst>
            <a:ext uri="{FF2B5EF4-FFF2-40B4-BE49-F238E27FC236}">
              <a16:creationId xmlns:a16="http://schemas.microsoft.com/office/drawing/2014/main" id="{4BC1D036-A63A-4BFD-A2DA-BC5F3E870265}"/>
            </a:ext>
          </a:extLst>
        </xdr:cNvPr>
        <xdr:cNvCxnSpPr/>
      </xdr:nvCxnSpPr>
      <xdr:spPr>
        <a:xfrm>
          <a:off x="1336493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20</xdr:row>
      <xdr:rowOff>19050</xdr:rowOff>
    </xdr:from>
    <xdr:to>
      <xdr:col>60</xdr:col>
      <xdr:colOff>123734</xdr:colOff>
      <xdr:row>20</xdr:row>
      <xdr:rowOff>133350</xdr:rowOff>
    </xdr:to>
    <xdr:sp macro="" textlink="">
      <xdr:nvSpPr>
        <xdr:cNvPr id="30260" name="17">
          <a:extLst>
            <a:ext uri="{FF2B5EF4-FFF2-40B4-BE49-F238E27FC236}">
              <a16:creationId xmlns:a16="http://schemas.microsoft.com/office/drawing/2014/main" id="{194ADF34-D499-4AA9-AD01-0C2AF932DCC1}"/>
            </a:ext>
          </a:extLst>
        </xdr:cNvPr>
        <xdr:cNvSpPr/>
      </xdr:nvSpPr>
      <xdr:spPr>
        <a:xfrm>
          <a:off x="13364936" y="3209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20</xdr:row>
      <xdr:rowOff>76200</xdr:rowOff>
    </xdr:from>
    <xdr:to>
      <xdr:col>57</xdr:col>
      <xdr:colOff>20411</xdr:colOff>
      <xdr:row>20</xdr:row>
      <xdr:rowOff>76200</xdr:rowOff>
    </xdr:to>
    <xdr:cxnSp macro="">
      <xdr:nvCxnSpPr>
        <xdr:cNvPr id="30261" name="직선 화살표 연결선 30260">
          <a:extLst>
            <a:ext uri="{FF2B5EF4-FFF2-40B4-BE49-F238E27FC236}">
              <a16:creationId xmlns:a16="http://schemas.microsoft.com/office/drawing/2014/main" id="{C579ADAD-11D0-455C-ACEA-5E8A86E4087E}"/>
            </a:ext>
          </a:extLst>
        </xdr:cNvPr>
        <xdr:cNvCxnSpPr/>
      </xdr:nvCxnSpPr>
      <xdr:spPr>
        <a:xfrm>
          <a:off x="1336493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20411</xdr:colOff>
      <xdr:row>19</xdr:row>
      <xdr:rowOff>19050</xdr:rowOff>
    </xdr:from>
    <xdr:to>
      <xdr:col>56</xdr:col>
      <xdr:colOff>123734</xdr:colOff>
      <xdr:row>19</xdr:row>
      <xdr:rowOff>133350</xdr:rowOff>
    </xdr:to>
    <xdr:sp macro="" textlink="">
      <xdr:nvSpPr>
        <xdr:cNvPr id="30262" name="16">
          <a:extLst>
            <a:ext uri="{FF2B5EF4-FFF2-40B4-BE49-F238E27FC236}">
              <a16:creationId xmlns:a16="http://schemas.microsoft.com/office/drawing/2014/main" id="{C15CE637-1E6D-48E0-B9A2-57B9D53F0AF9}"/>
            </a:ext>
          </a:extLst>
        </xdr:cNvPr>
        <xdr:cNvSpPr/>
      </xdr:nvSpPr>
      <xdr:spPr>
        <a:xfrm>
          <a:off x="13079186" y="30575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20411</xdr:colOff>
      <xdr:row>19</xdr:row>
      <xdr:rowOff>76200</xdr:rowOff>
    </xdr:from>
    <xdr:to>
      <xdr:col>55</xdr:col>
      <xdr:colOff>20411</xdr:colOff>
      <xdr:row>19</xdr:row>
      <xdr:rowOff>76200</xdr:rowOff>
    </xdr:to>
    <xdr:cxnSp macro="">
      <xdr:nvCxnSpPr>
        <xdr:cNvPr id="30263" name="직선 화살표 연결선 30262">
          <a:extLst>
            <a:ext uri="{FF2B5EF4-FFF2-40B4-BE49-F238E27FC236}">
              <a16:creationId xmlns:a16="http://schemas.microsoft.com/office/drawing/2014/main" id="{A800DEE6-C5CA-4BFB-B71C-5E2C91F20785}"/>
            </a:ext>
          </a:extLst>
        </xdr:cNvPr>
        <xdr:cNvCxnSpPr/>
      </xdr:nvCxnSpPr>
      <xdr:spPr>
        <a:xfrm>
          <a:off x="1307918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20410</xdr:colOff>
      <xdr:row>18</xdr:row>
      <xdr:rowOff>19050</xdr:rowOff>
    </xdr:from>
    <xdr:to>
      <xdr:col>54</xdr:col>
      <xdr:colOff>123734</xdr:colOff>
      <xdr:row>18</xdr:row>
      <xdr:rowOff>133350</xdr:rowOff>
    </xdr:to>
    <xdr:sp macro="" textlink="">
      <xdr:nvSpPr>
        <xdr:cNvPr id="30656" name="15">
          <a:extLst>
            <a:ext uri="{FF2B5EF4-FFF2-40B4-BE49-F238E27FC236}">
              <a16:creationId xmlns:a16="http://schemas.microsoft.com/office/drawing/2014/main" id="{58345901-A297-438A-A2AF-B4CE2F390C57}"/>
            </a:ext>
          </a:extLst>
        </xdr:cNvPr>
        <xdr:cNvSpPr/>
      </xdr:nvSpPr>
      <xdr:spPr>
        <a:xfrm>
          <a:off x="12793435" y="2905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20410</xdr:colOff>
      <xdr:row>18</xdr:row>
      <xdr:rowOff>76200</xdr:rowOff>
    </xdr:from>
    <xdr:to>
      <xdr:col>53</xdr:col>
      <xdr:colOff>20410</xdr:colOff>
      <xdr:row>18</xdr:row>
      <xdr:rowOff>76200</xdr:rowOff>
    </xdr:to>
    <xdr:cxnSp macro="">
      <xdr:nvCxnSpPr>
        <xdr:cNvPr id="30657" name="직선 화살표 연결선 30656">
          <a:extLst>
            <a:ext uri="{FF2B5EF4-FFF2-40B4-BE49-F238E27FC236}">
              <a16:creationId xmlns:a16="http://schemas.microsoft.com/office/drawing/2014/main" id="{80D80DDD-B49F-4931-84D1-7DF6A5906C91}"/>
            </a:ext>
          </a:extLst>
        </xdr:cNvPr>
        <xdr:cNvCxnSpPr/>
      </xdr:nvCxnSpPr>
      <xdr:spPr>
        <a:xfrm>
          <a:off x="12793435"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20410</xdr:colOff>
      <xdr:row>17</xdr:row>
      <xdr:rowOff>19050</xdr:rowOff>
    </xdr:from>
    <xdr:to>
      <xdr:col>52</xdr:col>
      <xdr:colOff>123734</xdr:colOff>
      <xdr:row>17</xdr:row>
      <xdr:rowOff>133350</xdr:rowOff>
    </xdr:to>
    <xdr:sp macro="" textlink="">
      <xdr:nvSpPr>
        <xdr:cNvPr id="30658" name="14">
          <a:extLst>
            <a:ext uri="{FF2B5EF4-FFF2-40B4-BE49-F238E27FC236}">
              <a16:creationId xmlns:a16="http://schemas.microsoft.com/office/drawing/2014/main" id="{99087EFD-6EA3-49AE-BEEA-90584D3AFB83}"/>
            </a:ext>
          </a:extLst>
        </xdr:cNvPr>
        <xdr:cNvSpPr/>
      </xdr:nvSpPr>
      <xdr:spPr>
        <a:xfrm>
          <a:off x="12507685" y="2752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20410</xdr:colOff>
      <xdr:row>17</xdr:row>
      <xdr:rowOff>76200</xdr:rowOff>
    </xdr:from>
    <xdr:to>
      <xdr:col>51</xdr:col>
      <xdr:colOff>20410</xdr:colOff>
      <xdr:row>17</xdr:row>
      <xdr:rowOff>76200</xdr:rowOff>
    </xdr:to>
    <xdr:cxnSp macro="">
      <xdr:nvCxnSpPr>
        <xdr:cNvPr id="30659" name="직선 화살표 연결선 30658">
          <a:extLst>
            <a:ext uri="{FF2B5EF4-FFF2-40B4-BE49-F238E27FC236}">
              <a16:creationId xmlns:a16="http://schemas.microsoft.com/office/drawing/2014/main" id="{0FFE223A-142C-4D3C-A18E-5379E7F8D4D6}"/>
            </a:ext>
          </a:extLst>
        </xdr:cNvPr>
        <xdr:cNvCxnSpPr/>
      </xdr:nvCxnSpPr>
      <xdr:spPr>
        <a:xfrm>
          <a:off x="12507685"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16</xdr:row>
      <xdr:rowOff>19050</xdr:rowOff>
    </xdr:from>
    <xdr:to>
      <xdr:col>50</xdr:col>
      <xdr:colOff>123734</xdr:colOff>
      <xdr:row>16</xdr:row>
      <xdr:rowOff>133350</xdr:rowOff>
    </xdr:to>
    <xdr:sp macro="" textlink="">
      <xdr:nvSpPr>
        <xdr:cNvPr id="30660" name="13">
          <a:extLst>
            <a:ext uri="{FF2B5EF4-FFF2-40B4-BE49-F238E27FC236}">
              <a16:creationId xmlns:a16="http://schemas.microsoft.com/office/drawing/2014/main" id="{8A5BD40C-5C34-448C-A481-3ABC33953A68}"/>
            </a:ext>
          </a:extLst>
        </xdr:cNvPr>
        <xdr:cNvSpPr/>
      </xdr:nvSpPr>
      <xdr:spPr>
        <a:xfrm>
          <a:off x="12221935" y="2600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16</xdr:row>
      <xdr:rowOff>76200</xdr:rowOff>
    </xdr:from>
    <xdr:to>
      <xdr:col>49</xdr:col>
      <xdr:colOff>20410</xdr:colOff>
      <xdr:row>16</xdr:row>
      <xdr:rowOff>76200</xdr:rowOff>
    </xdr:to>
    <xdr:cxnSp macro="">
      <xdr:nvCxnSpPr>
        <xdr:cNvPr id="30661" name="직선 화살표 연결선 30660">
          <a:extLst>
            <a:ext uri="{FF2B5EF4-FFF2-40B4-BE49-F238E27FC236}">
              <a16:creationId xmlns:a16="http://schemas.microsoft.com/office/drawing/2014/main" id="{26CE8DB0-23EE-469F-8241-CB5BC4E5C38B}"/>
            </a:ext>
          </a:extLst>
        </xdr:cNvPr>
        <xdr:cNvCxnSpPr/>
      </xdr:nvCxnSpPr>
      <xdr:spPr>
        <a:xfrm>
          <a:off x="12221935"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15</xdr:row>
      <xdr:rowOff>19050</xdr:rowOff>
    </xdr:from>
    <xdr:to>
      <xdr:col>48</xdr:col>
      <xdr:colOff>123734</xdr:colOff>
      <xdr:row>15</xdr:row>
      <xdr:rowOff>133350</xdr:rowOff>
    </xdr:to>
    <xdr:sp macro="" textlink="">
      <xdr:nvSpPr>
        <xdr:cNvPr id="30662" name="12">
          <a:extLst>
            <a:ext uri="{FF2B5EF4-FFF2-40B4-BE49-F238E27FC236}">
              <a16:creationId xmlns:a16="http://schemas.microsoft.com/office/drawing/2014/main" id="{A51ADECF-B5D4-4158-AF3E-385304B6BD8B}"/>
            </a:ext>
          </a:extLst>
        </xdr:cNvPr>
        <xdr:cNvSpPr/>
      </xdr:nvSpPr>
      <xdr:spPr>
        <a:xfrm>
          <a:off x="11936185" y="2447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15</xdr:row>
      <xdr:rowOff>76200</xdr:rowOff>
    </xdr:from>
    <xdr:to>
      <xdr:col>47</xdr:col>
      <xdr:colOff>20410</xdr:colOff>
      <xdr:row>15</xdr:row>
      <xdr:rowOff>76200</xdr:rowOff>
    </xdr:to>
    <xdr:cxnSp macro="">
      <xdr:nvCxnSpPr>
        <xdr:cNvPr id="30663" name="직선 화살표 연결선 30662">
          <a:extLst>
            <a:ext uri="{FF2B5EF4-FFF2-40B4-BE49-F238E27FC236}">
              <a16:creationId xmlns:a16="http://schemas.microsoft.com/office/drawing/2014/main" id="{110ECB1B-5C65-404F-9D05-C50FD117F66F}"/>
            </a:ext>
          </a:extLst>
        </xdr:cNvPr>
        <xdr:cNvCxnSpPr/>
      </xdr:nvCxnSpPr>
      <xdr:spPr>
        <a:xfrm>
          <a:off x="1193618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20410</xdr:colOff>
      <xdr:row>14</xdr:row>
      <xdr:rowOff>19050</xdr:rowOff>
    </xdr:from>
    <xdr:to>
      <xdr:col>46</xdr:col>
      <xdr:colOff>123734</xdr:colOff>
      <xdr:row>14</xdr:row>
      <xdr:rowOff>133350</xdr:rowOff>
    </xdr:to>
    <xdr:sp macro="" textlink="">
      <xdr:nvSpPr>
        <xdr:cNvPr id="30664" name="11">
          <a:extLst>
            <a:ext uri="{FF2B5EF4-FFF2-40B4-BE49-F238E27FC236}">
              <a16:creationId xmlns:a16="http://schemas.microsoft.com/office/drawing/2014/main" id="{0B697E22-67B7-4700-9A90-983FD7E3848D}"/>
            </a:ext>
          </a:extLst>
        </xdr:cNvPr>
        <xdr:cNvSpPr/>
      </xdr:nvSpPr>
      <xdr:spPr>
        <a:xfrm>
          <a:off x="11650435" y="2295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20410</xdr:colOff>
      <xdr:row>14</xdr:row>
      <xdr:rowOff>76200</xdr:rowOff>
    </xdr:from>
    <xdr:to>
      <xdr:col>45</xdr:col>
      <xdr:colOff>20410</xdr:colOff>
      <xdr:row>14</xdr:row>
      <xdr:rowOff>76200</xdr:rowOff>
    </xdr:to>
    <xdr:cxnSp macro="">
      <xdr:nvCxnSpPr>
        <xdr:cNvPr id="30665" name="직선 화살표 연결선 30664">
          <a:extLst>
            <a:ext uri="{FF2B5EF4-FFF2-40B4-BE49-F238E27FC236}">
              <a16:creationId xmlns:a16="http://schemas.microsoft.com/office/drawing/2014/main" id="{20283070-9307-45B2-928F-629D05528A95}"/>
            </a:ext>
          </a:extLst>
        </xdr:cNvPr>
        <xdr:cNvCxnSpPr/>
      </xdr:nvCxnSpPr>
      <xdr:spPr>
        <a:xfrm>
          <a:off x="1165043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13</xdr:row>
      <xdr:rowOff>19050</xdr:rowOff>
    </xdr:from>
    <xdr:to>
      <xdr:col>44</xdr:col>
      <xdr:colOff>123734</xdr:colOff>
      <xdr:row>13</xdr:row>
      <xdr:rowOff>133350</xdr:rowOff>
    </xdr:to>
    <xdr:sp macro="" textlink="">
      <xdr:nvSpPr>
        <xdr:cNvPr id="30666" name="10">
          <a:extLst>
            <a:ext uri="{FF2B5EF4-FFF2-40B4-BE49-F238E27FC236}">
              <a16:creationId xmlns:a16="http://schemas.microsoft.com/office/drawing/2014/main" id="{E736A08A-EBFF-4000-87DC-019777E6A5EA}"/>
            </a:ext>
          </a:extLst>
        </xdr:cNvPr>
        <xdr:cNvSpPr/>
      </xdr:nvSpPr>
      <xdr:spPr>
        <a:xfrm>
          <a:off x="11364685" y="2143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13</xdr:row>
      <xdr:rowOff>76200</xdr:rowOff>
    </xdr:from>
    <xdr:to>
      <xdr:col>43</xdr:col>
      <xdr:colOff>20410</xdr:colOff>
      <xdr:row>13</xdr:row>
      <xdr:rowOff>76200</xdr:rowOff>
    </xdr:to>
    <xdr:cxnSp macro="">
      <xdr:nvCxnSpPr>
        <xdr:cNvPr id="30667" name="직선 화살표 연결선 30666">
          <a:extLst>
            <a:ext uri="{FF2B5EF4-FFF2-40B4-BE49-F238E27FC236}">
              <a16:creationId xmlns:a16="http://schemas.microsoft.com/office/drawing/2014/main" id="{37C13A16-C23E-4E63-88AC-E60071642927}"/>
            </a:ext>
          </a:extLst>
        </xdr:cNvPr>
        <xdr:cNvCxnSpPr/>
      </xdr:nvCxnSpPr>
      <xdr:spPr>
        <a:xfrm>
          <a:off x="11364685"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12</xdr:row>
      <xdr:rowOff>19050</xdr:rowOff>
    </xdr:from>
    <xdr:to>
      <xdr:col>56</xdr:col>
      <xdr:colOff>123734</xdr:colOff>
      <xdr:row>12</xdr:row>
      <xdr:rowOff>133350</xdr:rowOff>
    </xdr:to>
    <xdr:sp macro="" textlink="">
      <xdr:nvSpPr>
        <xdr:cNvPr id="30668" name="9">
          <a:extLst>
            <a:ext uri="{FF2B5EF4-FFF2-40B4-BE49-F238E27FC236}">
              <a16:creationId xmlns:a16="http://schemas.microsoft.com/office/drawing/2014/main" id="{FB5094A8-716F-4485-81A9-8C23F2EEF688}"/>
            </a:ext>
          </a:extLst>
        </xdr:cNvPr>
        <xdr:cNvSpPr/>
      </xdr:nvSpPr>
      <xdr:spPr>
        <a:xfrm>
          <a:off x="11364685" y="1990725"/>
          <a:ext cx="1960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12</xdr:row>
      <xdr:rowOff>76200</xdr:rowOff>
    </xdr:from>
    <xdr:to>
      <xdr:col>43</xdr:col>
      <xdr:colOff>20410</xdr:colOff>
      <xdr:row>12</xdr:row>
      <xdr:rowOff>76200</xdr:rowOff>
    </xdr:to>
    <xdr:cxnSp macro="">
      <xdr:nvCxnSpPr>
        <xdr:cNvPr id="30669" name="직선 화살표 연결선 30668">
          <a:extLst>
            <a:ext uri="{FF2B5EF4-FFF2-40B4-BE49-F238E27FC236}">
              <a16:creationId xmlns:a16="http://schemas.microsoft.com/office/drawing/2014/main" id="{6F3B69B3-8032-476D-867C-B92D0249B74A}"/>
            </a:ext>
          </a:extLst>
        </xdr:cNvPr>
        <xdr:cNvCxnSpPr/>
      </xdr:nvCxnSpPr>
      <xdr:spPr>
        <a:xfrm>
          <a:off x="11364685"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11</xdr:row>
      <xdr:rowOff>19050</xdr:rowOff>
    </xdr:from>
    <xdr:to>
      <xdr:col>42</xdr:col>
      <xdr:colOff>123734</xdr:colOff>
      <xdr:row>11</xdr:row>
      <xdr:rowOff>133350</xdr:rowOff>
    </xdr:to>
    <xdr:sp macro="" textlink="">
      <xdr:nvSpPr>
        <xdr:cNvPr id="30670" name="8">
          <a:extLst>
            <a:ext uri="{FF2B5EF4-FFF2-40B4-BE49-F238E27FC236}">
              <a16:creationId xmlns:a16="http://schemas.microsoft.com/office/drawing/2014/main" id="{611B8291-5309-4BD8-9995-1FE2CF8453C7}"/>
            </a:ext>
          </a:extLst>
        </xdr:cNvPr>
        <xdr:cNvSpPr/>
      </xdr:nvSpPr>
      <xdr:spPr>
        <a:xfrm>
          <a:off x="11078935" y="1838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11</xdr:row>
      <xdr:rowOff>76200</xdr:rowOff>
    </xdr:from>
    <xdr:to>
      <xdr:col>41</xdr:col>
      <xdr:colOff>20410</xdr:colOff>
      <xdr:row>11</xdr:row>
      <xdr:rowOff>76200</xdr:rowOff>
    </xdr:to>
    <xdr:cxnSp macro="">
      <xdr:nvCxnSpPr>
        <xdr:cNvPr id="30671" name="직선 화살표 연결선 30670">
          <a:extLst>
            <a:ext uri="{FF2B5EF4-FFF2-40B4-BE49-F238E27FC236}">
              <a16:creationId xmlns:a16="http://schemas.microsoft.com/office/drawing/2014/main" id="{6EEB2B9B-19DA-49BA-8706-2FB3152CAE78}"/>
            </a:ext>
          </a:extLst>
        </xdr:cNvPr>
        <xdr:cNvCxnSpPr/>
      </xdr:nvCxnSpPr>
      <xdr:spPr>
        <a:xfrm>
          <a:off x="11078935"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10</xdr:row>
      <xdr:rowOff>19050</xdr:rowOff>
    </xdr:from>
    <xdr:to>
      <xdr:col>40</xdr:col>
      <xdr:colOff>123734</xdr:colOff>
      <xdr:row>10</xdr:row>
      <xdr:rowOff>133350</xdr:rowOff>
    </xdr:to>
    <xdr:sp macro="" textlink="">
      <xdr:nvSpPr>
        <xdr:cNvPr id="30672" name="7">
          <a:extLst>
            <a:ext uri="{FF2B5EF4-FFF2-40B4-BE49-F238E27FC236}">
              <a16:creationId xmlns:a16="http://schemas.microsoft.com/office/drawing/2014/main" id="{58F617B3-3570-4B53-B8B7-8F7D47F5BC98}"/>
            </a:ext>
          </a:extLst>
        </xdr:cNvPr>
        <xdr:cNvSpPr/>
      </xdr:nvSpPr>
      <xdr:spPr>
        <a:xfrm>
          <a:off x="10793185" y="1685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10</xdr:row>
      <xdr:rowOff>76200</xdr:rowOff>
    </xdr:from>
    <xdr:to>
      <xdr:col>39</xdr:col>
      <xdr:colOff>20410</xdr:colOff>
      <xdr:row>10</xdr:row>
      <xdr:rowOff>76200</xdr:rowOff>
    </xdr:to>
    <xdr:cxnSp macro="">
      <xdr:nvCxnSpPr>
        <xdr:cNvPr id="30673" name="직선 화살표 연결선 30672">
          <a:extLst>
            <a:ext uri="{FF2B5EF4-FFF2-40B4-BE49-F238E27FC236}">
              <a16:creationId xmlns:a16="http://schemas.microsoft.com/office/drawing/2014/main" id="{E4BECC2B-7134-4E72-A5FF-49F4B7FA69FE}"/>
            </a:ext>
          </a:extLst>
        </xdr:cNvPr>
        <xdr:cNvCxnSpPr/>
      </xdr:nvCxnSpPr>
      <xdr:spPr>
        <a:xfrm>
          <a:off x="10793185"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9</xdr:row>
      <xdr:rowOff>19050</xdr:rowOff>
    </xdr:from>
    <xdr:to>
      <xdr:col>38</xdr:col>
      <xdr:colOff>123734</xdr:colOff>
      <xdr:row>9</xdr:row>
      <xdr:rowOff>133350</xdr:rowOff>
    </xdr:to>
    <xdr:sp macro="" textlink="">
      <xdr:nvSpPr>
        <xdr:cNvPr id="30674" name="6">
          <a:extLst>
            <a:ext uri="{FF2B5EF4-FFF2-40B4-BE49-F238E27FC236}">
              <a16:creationId xmlns:a16="http://schemas.microsoft.com/office/drawing/2014/main" id="{1F6207A3-F147-42A5-A396-46FB72E6416B}"/>
            </a:ext>
          </a:extLst>
        </xdr:cNvPr>
        <xdr:cNvSpPr/>
      </xdr:nvSpPr>
      <xdr:spPr>
        <a:xfrm>
          <a:off x="10507435" y="15335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9</xdr:row>
      <xdr:rowOff>76200</xdr:rowOff>
    </xdr:from>
    <xdr:to>
      <xdr:col>37</xdr:col>
      <xdr:colOff>20410</xdr:colOff>
      <xdr:row>9</xdr:row>
      <xdr:rowOff>76200</xdr:rowOff>
    </xdr:to>
    <xdr:cxnSp macro="">
      <xdr:nvCxnSpPr>
        <xdr:cNvPr id="30675" name="직선 화살표 연결선 30674">
          <a:extLst>
            <a:ext uri="{FF2B5EF4-FFF2-40B4-BE49-F238E27FC236}">
              <a16:creationId xmlns:a16="http://schemas.microsoft.com/office/drawing/2014/main" id="{3D63553E-1AD3-4789-92E4-7C08128D8E2D}"/>
            </a:ext>
          </a:extLst>
        </xdr:cNvPr>
        <xdr:cNvCxnSpPr/>
      </xdr:nvCxnSpPr>
      <xdr:spPr>
        <a:xfrm>
          <a:off x="10507435"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8</xdr:row>
      <xdr:rowOff>19050</xdr:rowOff>
    </xdr:from>
    <xdr:to>
      <xdr:col>36</xdr:col>
      <xdr:colOff>123734</xdr:colOff>
      <xdr:row>8</xdr:row>
      <xdr:rowOff>133350</xdr:rowOff>
    </xdr:to>
    <xdr:sp macro="" textlink="">
      <xdr:nvSpPr>
        <xdr:cNvPr id="30676" name="5">
          <a:extLst>
            <a:ext uri="{FF2B5EF4-FFF2-40B4-BE49-F238E27FC236}">
              <a16:creationId xmlns:a16="http://schemas.microsoft.com/office/drawing/2014/main" id="{FE31973A-2B92-4FD0-AA0F-24B59FAF3FB2}"/>
            </a:ext>
          </a:extLst>
        </xdr:cNvPr>
        <xdr:cNvSpPr/>
      </xdr:nvSpPr>
      <xdr:spPr>
        <a:xfrm>
          <a:off x="10221685" y="1381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8</xdr:row>
      <xdr:rowOff>76200</xdr:rowOff>
    </xdr:from>
    <xdr:to>
      <xdr:col>35</xdr:col>
      <xdr:colOff>20410</xdr:colOff>
      <xdr:row>8</xdr:row>
      <xdr:rowOff>76200</xdr:rowOff>
    </xdr:to>
    <xdr:cxnSp macro="">
      <xdr:nvCxnSpPr>
        <xdr:cNvPr id="30677" name="직선 화살표 연결선 30676">
          <a:extLst>
            <a:ext uri="{FF2B5EF4-FFF2-40B4-BE49-F238E27FC236}">
              <a16:creationId xmlns:a16="http://schemas.microsoft.com/office/drawing/2014/main" id="{E1B576D4-4A93-49B7-897A-A54537A39D94}"/>
            </a:ext>
          </a:extLst>
        </xdr:cNvPr>
        <xdr:cNvCxnSpPr/>
      </xdr:nvCxnSpPr>
      <xdr:spPr>
        <a:xfrm>
          <a:off x="10221685"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7</xdr:row>
      <xdr:rowOff>19050</xdr:rowOff>
    </xdr:from>
    <xdr:to>
      <xdr:col>42</xdr:col>
      <xdr:colOff>123734</xdr:colOff>
      <xdr:row>7</xdr:row>
      <xdr:rowOff>133350</xdr:rowOff>
    </xdr:to>
    <xdr:sp macro="" textlink="">
      <xdr:nvSpPr>
        <xdr:cNvPr id="30678" name="4">
          <a:extLst>
            <a:ext uri="{FF2B5EF4-FFF2-40B4-BE49-F238E27FC236}">
              <a16:creationId xmlns:a16="http://schemas.microsoft.com/office/drawing/2014/main" id="{EDBA53A4-0CC6-44B0-B5AC-D7627B2C3016}"/>
            </a:ext>
          </a:extLst>
        </xdr:cNvPr>
        <xdr:cNvSpPr/>
      </xdr:nvSpPr>
      <xdr:spPr>
        <a:xfrm>
          <a:off x="10221685" y="1228725"/>
          <a:ext cx="1103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7</xdr:row>
      <xdr:rowOff>76200</xdr:rowOff>
    </xdr:from>
    <xdr:to>
      <xdr:col>35</xdr:col>
      <xdr:colOff>20410</xdr:colOff>
      <xdr:row>7</xdr:row>
      <xdr:rowOff>76200</xdr:rowOff>
    </xdr:to>
    <xdr:cxnSp macro="">
      <xdr:nvCxnSpPr>
        <xdr:cNvPr id="30679" name="직선 화살표 연결선 30678">
          <a:extLst>
            <a:ext uri="{FF2B5EF4-FFF2-40B4-BE49-F238E27FC236}">
              <a16:creationId xmlns:a16="http://schemas.microsoft.com/office/drawing/2014/main" id="{0F79BE07-D307-4589-A634-06BF9296ECBF}"/>
            </a:ext>
          </a:extLst>
        </xdr:cNvPr>
        <xdr:cNvCxnSpPr/>
      </xdr:nvCxnSpPr>
      <xdr:spPr>
        <a:xfrm>
          <a:off x="10221685"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6</xdr:row>
      <xdr:rowOff>19050</xdr:rowOff>
    </xdr:from>
    <xdr:to>
      <xdr:col>60</xdr:col>
      <xdr:colOff>123734</xdr:colOff>
      <xdr:row>6</xdr:row>
      <xdr:rowOff>133350</xdr:rowOff>
    </xdr:to>
    <xdr:sp macro="" textlink="">
      <xdr:nvSpPr>
        <xdr:cNvPr id="30680" name="3">
          <a:extLst>
            <a:ext uri="{FF2B5EF4-FFF2-40B4-BE49-F238E27FC236}">
              <a16:creationId xmlns:a16="http://schemas.microsoft.com/office/drawing/2014/main" id="{8AF830D7-943F-4DA6-B61F-42D549AE6814}"/>
            </a:ext>
          </a:extLst>
        </xdr:cNvPr>
        <xdr:cNvSpPr/>
      </xdr:nvSpPr>
      <xdr:spPr>
        <a:xfrm>
          <a:off x="10221685" y="1076325"/>
          <a:ext cx="3675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6</xdr:row>
      <xdr:rowOff>76200</xdr:rowOff>
    </xdr:from>
    <xdr:to>
      <xdr:col>35</xdr:col>
      <xdr:colOff>20410</xdr:colOff>
      <xdr:row>6</xdr:row>
      <xdr:rowOff>76200</xdr:rowOff>
    </xdr:to>
    <xdr:cxnSp macro="">
      <xdr:nvCxnSpPr>
        <xdr:cNvPr id="30681" name="직선 화살표 연결선 30680">
          <a:extLst>
            <a:ext uri="{FF2B5EF4-FFF2-40B4-BE49-F238E27FC236}">
              <a16:creationId xmlns:a16="http://schemas.microsoft.com/office/drawing/2014/main" id="{3F510274-AC6B-494D-A306-817AAF0B41E1}"/>
            </a:ext>
          </a:extLst>
        </xdr:cNvPr>
        <xdr:cNvCxnSpPr/>
      </xdr:nvCxnSpPr>
      <xdr:spPr>
        <a:xfrm>
          <a:off x="10221685"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xdr:row>
      <xdr:rowOff>19050</xdr:rowOff>
    </xdr:from>
    <xdr:to>
      <xdr:col>82</xdr:col>
      <xdr:colOff>123734</xdr:colOff>
      <xdr:row>5</xdr:row>
      <xdr:rowOff>133350</xdr:rowOff>
    </xdr:to>
    <xdr:sp macro="" textlink="">
      <xdr:nvSpPr>
        <xdr:cNvPr id="30682" name="2">
          <a:extLst>
            <a:ext uri="{FF2B5EF4-FFF2-40B4-BE49-F238E27FC236}">
              <a16:creationId xmlns:a16="http://schemas.microsoft.com/office/drawing/2014/main" id="{9F1988DF-74DB-4BF7-8012-9D89B4E90037}"/>
            </a:ext>
          </a:extLst>
        </xdr:cNvPr>
        <xdr:cNvSpPr/>
      </xdr:nvSpPr>
      <xdr:spPr>
        <a:xfrm>
          <a:off x="9650185" y="923925"/>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xdr:row>
      <xdr:rowOff>76200</xdr:rowOff>
    </xdr:from>
    <xdr:to>
      <xdr:col>31</xdr:col>
      <xdr:colOff>20410</xdr:colOff>
      <xdr:row>5</xdr:row>
      <xdr:rowOff>76200</xdr:rowOff>
    </xdr:to>
    <xdr:cxnSp macro="">
      <xdr:nvCxnSpPr>
        <xdr:cNvPr id="30683" name="직선 화살표 연결선 30682">
          <a:extLst>
            <a:ext uri="{FF2B5EF4-FFF2-40B4-BE49-F238E27FC236}">
              <a16:creationId xmlns:a16="http://schemas.microsoft.com/office/drawing/2014/main" id="{9938E516-41E7-4184-B6F7-27C071F31FA3}"/>
            </a:ext>
          </a:extLst>
        </xdr:cNvPr>
        <xdr:cNvCxnSpPr/>
      </xdr:nvCxnSpPr>
      <xdr:spPr>
        <a:xfrm>
          <a:off x="9650185"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xdr:row>
      <xdr:rowOff>19050</xdr:rowOff>
    </xdr:from>
    <xdr:to>
      <xdr:col>82</xdr:col>
      <xdr:colOff>123734</xdr:colOff>
      <xdr:row>4</xdr:row>
      <xdr:rowOff>133350</xdr:rowOff>
    </xdr:to>
    <xdr:sp macro="" textlink="">
      <xdr:nvSpPr>
        <xdr:cNvPr id="30684" name="1">
          <a:extLst>
            <a:ext uri="{FF2B5EF4-FFF2-40B4-BE49-F238E27FC236}">
              <a16:creationId xmlns:a16="http://schemas.microsoft.com/office/drawing/2014/main" id="{4B96874D-2B39-4329-B0EF-0F6C8B386730}"/>
            </a:ext>
          </a:extLst>
        </xdr:cNvPr>
        <xdr:cNvSpPr/>
      </xdr:nvSpPr>
      <xdr:spPr>
        <a:xfrm>
          <a:off x="9650185" y="771525"/>
          <a:ext cx="7389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xdr:row>
      <xdr:rowOff>76200</xdr:rowOff>
    </xdr:from>
    <xdr:to>
      <xdr:col>31</xdr:col>
      <xdr:colOff>20410</xdr:colOff>
      <xdr:row>4</xdr:row>
      <xdr:rowOff>76200</xdr:rowOff>
    </xdr:to>
    <xdr:cxnSp macro="">
      <xdr:nvCxnSpPr>
        <xdr:cNvPr id="30685" name="직선 화살표 연결선 30684">
          <a:extLst>
            <a:ext uri="{FF2B5EF4-FFF2-40B4-BE49-F238E27FC236}">
              <a16:creationId xmlns:a16="http://schemas.microsoft.com/office/drawing/2014/main" id="{3F7A6C57-4FD0-48C2-A3EE-9677BB432C87}"/>
            </a:ext>
          </a:extLst>
        </xdr:cNvPr>
        <xdr:cNvCxnSpPr/>
      </xdr:nvCxnSpPr>
      <xdr:spPr>
        <a:xfrm>
          <a:off x="9650185"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379</v>
      </c>
      <c r="B3" s="72" t="s">
        <v>10</v>
      </c>
      <c r="C3" s="72"/>
      <c r="D3" s="72"/>
      <c r="E3" s="72" t="s">
        <v>11</v>
      </c>
      <c r="F3" s="72"/>
    </row>
    <row r="4" spans="1:64">
      <c r="A4" s="71" t="s">
        <v>12</v>
      </c>
      <c r="B4" s="82" t="s">
        <v>380</v>
      </c>
      <c r="C4" s="72"/>
      <c r="D4" s="72"/>
      <c r="E4" s="72" t="s">
        <v>11</v>
      </c>
      <c r="F4" s="72"/>
    </row>
    <row r="5" spans="1:64">
      <c r="A5" s="71" t="s">
        <v>13</v>
      </c>
      <c r="B5" s="72" t="s">
        <v>14</v>
      </c>
      <c r="C5" s="72"/>
      <c r="D5" s="72"/>
      <c r="E5" s="72" t="s">
        <v>11</v>
      </c>
      <c r="F5" s="72"/>
    </row>
    <row r="6" spans="1:64">
      <c r="A6" s="71" t="s">
        <v>15</v>
      </c>
      <c r="B6" s="72" t="s">
        <v>1250</v>
      </c>
      <c r="C6" s="72"/>
      <c r="D6" s="72"/>
      <c r="E6" s="72" t="s">
        <v>11</v>
      </c>
      <c r="F6" s="72"/>
    </row>
    <row r="7" spans="1:64">
      <c r="A7" s="71" t="s">
        <v>16</v>
      </c>
      <c r="B7" s="71" t="s">
        <v>10</v>
      </c>
      <c r="C7" s="72"/>
      <c r="D7" s="72"/>
      <c r="E7" s="72" t="s">
        <v>11</v>
      </c>
      <c r="F7" s="72"/>
    </row>
    <row r="8" spans="1:64">
      <c r="A8" s="71" t="s">
        <v>17</v>
      </c>
      <c r="B8" s="74" t="s">
        <v>1334</v>
      </c>
      <c r="C8" s="72" t="s">
        <v>1228</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381</v>
      </c>
      <c r="B11" s="78" t="s">
        <v>22</v>
      </c>
      <c r="C11" s="70" t="s">
        <v>1221</v>
      </c>
      <c r="D11" s="70" t="s">
        <v>23</v>
      </c>
      <c r="E11" s="79">
        <v>1</v>
      </c>
      <c r="F11" s="80" t="s">
        <v>24</v>
      </c>
      <c r="G11" s="81">
        <v>44200</v>
      </c>
      <c r="H11" s="80" t="s">
        <v>25</v>
      </c>
      <c r="I11" s="81">
        <v>44561</v>
      </c>
      <c r="J11" s="73" t="s">
        <v>398</v>
      </c>
      <c r="K11" s="73" t="s">
        <v>1229</v>
      </c>
      <c r="L11" s="73" t="s">
        <v>395</v>
      </c>
      <c r="M11" s="73">
        <v>1</v>
      </c>
      <c r="N11" s="78" t="s">
        <v>26</v>
      </c>
      <c r="O11" s="70">
        <v>0</v>
      </c>
      <c r="P11" s="70" t="s">
        <v>27</v>
      </c>
      <c r="Q11" s="78" t="s">
        <v>1356</v>
      </c>
      <c r="R11" s="73" t="s">
        <v>400</v>
      </c>
      <c r="S11" s="73">
        <v>1</v>
      </c>
      <c r="T11" s="73" t="s">
        <v>405</v>
      </c>
      <c r="U11" s="73">
        <v>1</v>
      </c>
      <c r="V11" s="73" t="s">
        <v>406</v>
      </c>
      <c r="W11" s="73">
        <v>1</v>
      </c>
      <c r="X11" s="73" t="s">
        <v>409</v>
      </c>
      <c r="Y11" s="73">
        <v>1</v>
      </c>
      <c r="Z11" s="73" t="s">
        <v>560</v>
      </c>
      <c r="AA11" s="73">
        <v>0</v>
      </c>
      <c r="AB11" s="73" t="s">
        <v>962</v>
      </c>
      <c r="AC11" s="73">
        <v>0</v>
      </c>
      <c r="AD11" s="73" t="s">
        <v>992</v>
      </c>
      <c r="AE11" s="73">
        <v>1</v>
      </c>
      <c r="AF11" s="73" t="s">
        <v>1192</v>
      </c>
      <c r="AG11" s="73">
        <v>1</v>
      </c>
    </row>
    <row r="12" spans="1:64">
      <c r="A12" s="73" t="s">
        <v>384</v>
      </c>
      <c r="B12" s="73" t="s">
        <v>385</v>
      </c>
      <c r="C12" s="73">
        <v>1</v>
      </c>
      <c r="D12" s="73" t="s">
        <v>386</v>
      </c>
      <c r="E12" s="73">
        <v>1</v>
      </c>
      <c r="F12" s="73" t="s">
        <v>387</v>
      </c>
      <c r="G12" s="73">
        <v>0</v>
      </c>
      <c r="H12" s="73" t="s">
        <v>388</v>
      </c>
      <c r="I12" s="73">
        <v>1</v>
      </c>
      <c r="J12" s="73" t="s">
        <v>389</v>
      </c>
      <c r="K12" s="73">
        <v>0.7</v>
      </c>
      <c r="L12" s="73" t="s">
        <v>390</v>
      </c>
      <c r="M12" s="73">
        <v>2</v>
      </c>
      <c r="N12" s="73" t="s">
        <v>391</v>
      </c>
      <c r="O12" s="73">
        <v>1</v>
      </c>
      <c r="P12" s="73" t="s">
        <v>394</v>
      </c>
      <c r="Q12" s="73">
        <v>1</v>
      </c>
      <c r="R12" s="73" t="s">
        <v>401</v>
      </c>
      <c r="S12" s="73">
        <v>7</v>
      </c>
      <c r="T12" s="73" t="s">
        <v>402</v>
      </c>
      <c r="U12" s="73">
        <v>0</v>
      </c>
      <c r="V12" s="73" t="s">
        <v>403</v>
      </c>
      <c r="W12" s="73">
        <v>100</v>
      </c>
      <c r="X12" s="73" t="s">
        <v>404</v>
      </c>
      <c r="Y12" s="73">
        <v>0</v>
      </c>
      <c r="Z12" s="73" t="s">
        <v>407</v>
      </c>
      <c r="AA12" s="73">
        <v>1</v>
      </c>
      <c r="AB12" s="73" t="s">
        <v>408</v>
      </c>
      <c r="AC12" s="73">
        <v>1</v>
      </c>
      <c r="AD12" s="73" t="s">
        <v>522</v>
      </c>
      <c r="AE12" s="73">
        <v>1</v>
      </c>
      <c r="AF12" s="73" t="s">
        <v>536</v>
      </c>
      <c r="AG12" s="73">
        <v>0</v>
      </c>
      <c r="AH12" s="73" t="s">
        <v>969</v>
      </c>
      <c r="AI12" s="73">
        <v>9</v>
      </c>
      <c r="AJ12" s="73" t="s">
        <v>1188</v>
      </c>
      <c r="AK12" s="73">
        <v>1</v>
      </c>
      <c r="AL12" s="73" t="s">
        <v>1189</v>
      </c>
      <c r="AM12" s="73">
        <v>1</v>
      </c>
      <c r="AN12" s="73" t="s">
        <v>1190</v>
      </c>
      <c r="AO12" s="73">
        <v>1</v>
      </c>
      <c r="AP12" s="73" t="s">
        <v>1191</v>
      </c>
      <c r="AQ12" s="123" t="s">
        <v>1355</v>
      </c>
    </row>
    <row r="13" spans="1:64">
      <c r="A13" s="72" t="s">
        <v>382</v>
      </c>
      <c r="B13" s="78" t="s">
        <v>28</v>
      </c>
      <c r="C13" s="70">
        <v>1</v>
      </c>
      <c r="D13" s="78" t="s">
        <v>29</v>
      </c>
      <c r="E13" s="70" t="s">
        <v>1227</v>
      </c>
      <c r="F13" s="70" t="s">
        <v>30</v>
      </c>
      <c r="G13" s="80" t="s">
        <v>524</v>
      </c>
      <c r="H13" s="80" t="s">
        <v>31</v>
      </c>
      <c r="I13" s="73" t="s">
        <v>524</v>
      </c>
    </row>
    <row r="14" spans="1:64">
      <c r="A14" s="72" t="s">
        <v>383</v>
      </c>
      <c r="B14" s="79" t="s">
        <v>32</v>
      </c>
      <c r="C14" s="79" t="s">
        <v>1381</v>
      </c>
      <c r="D14" s="79" t="s">
        <v>33</v>
      </c>
      <c r="E14" s="79" t="s">
        <v>537</v>
      </c>
      <c r="F14" s="79" t="s">
        <v>34</v>
      </c>
      <c r="G14" s="79" t="s">
        <v>1382</v>
      </c>
      <c r="H14" s="79" t="s">
        <v>35</v>
      </c>
      <c r="I14" s="79" t="b">
        <v>0</v>
      </c>
      <c r="J14" s="79" t="s">
        <v>36</v>
      </c>
      <c r="K14" s="79" t="s">
        <v>1383</v>
      </c>
      <c r="L14" s="79" t="s">
        <v>37</v>
      </c>
      <c r="M14" s="79" t="s">
        <v>548</v>
      </c>
      <c r="N14" s="79" t="s">
        <v>38</v>
      </c>
      <c r="O14" s="79" t="s">
        <v>1382</v>
      </c>
      <c r="P14" s="79" t="s">
        <v>39</v>
      </c>
      <c r="Q14" s="79" t="b">
        <v>0</v>
      </c>
      <c r="R14" s="79" t="s">
        <v>40</v>
      </c>
      <c r="S14" s="79" t="s">
        <v>1384</v>
      </c>
      <c r="T14" s="79" t="s">
        <v>41</v>
      </c>
      <c r="U14" s="79" t="s">
        <v>549</v>
      </c>
      <c r="V14" s="79" t="s">
        <v>42</v>
      </c>
      <c r="W14" s="79" t="s">
        <v>1382</v>
      </c>
      <c r="X14" s="79" t="s">
        <v>43</v>
      </c>
      <c r="Y14" s="79" t="b">
        <v>1</v>
      </c>
      <c r="Z14" s="79" t="s">
        <v>44</v>
      </c>
      <c r="AA14" s="79" t="s">
        <v>996</v>
      </c>
      <c r="AB14" s="79" t="s">
        <v>45</v>
      </c>
      <c r="AC14" s="79" t="s">
        <v>995</v>
      </c>
      <c r="AD14" s="79" t="s">
        <v>46</v>
      </c>
      <c r="AE14" s="79" t="s">
        <v>997</v>
      </c>
      <c r="AF14" s="79" t="s">
        <v>47</v>
      </c>
      <c r="AG14" s="79" t="b">
        <v>1</v>
      </c>
      <c r="AH14" s="79" t="s">
        <v>48</v>
      </c>
      <c r="AI14" s="79" t="s">
        <v>998</v>
      </c>
      <c r="AJ14" s="79" t="s">
        <v>49</v>
      </c>
      <c r="AK14" s="79" t="s">
        <v>999</v>
      </c>
      <c r="AL14" s="79" t="s">
        <v>50</v>
      </c>
      <c r="AM14" s="79" t="s">
        <v>1000</v>
      </c>
      <c r="AN14" s="79" t="s">
        <v>51</v>
      </c>
      <c r="AO14" s="79" t="b">
        <v>0</v>
      </c>
      <c r="AP14" s="79" t="s">
        <v>52</v>
      </c>
      <c r="AQ14" s="79" t="s">
        <v>539</v>
      </c>
      <c r="AR14" s="79" t="s">
        <v>53</v>
      </c>
      <c r="AS14" s="79" t="s">
        <v>550</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399</v>
      </c>
      <c r="B15" s="73" t="s">
        <v>392</v>
      </c>
      <c r="C15" s="73">
        <v>1</v>
      </c>
      <c r="D15" s="73" t="s">
        <v>393</v>
      </c>
      <c r="E15" s="73">
        <v>82</v>
      </c>
      <c r="F15" s="73" t="s">
        <v>396</v>
      </c>
      <c r="G15" s="73" t="s">
        <v>1249</v>
      </c>
      <c r="H15" s="73" t="s">
        <v>397</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B14" sqref="B14"/>
    </sheetView>
  </sheetViews>
  <sheetFormatPr defaultRowHeight="15.75"/>
  <cols>
    <col min="1" max="1" width="5.875" style="99" customWidth="1"/>
    <col min="2" max="2" width="29.875" style="121" customWidth="1"/>
    <col min="3" max="3" width="1.25" style="99" customWidth="1"/>
    <col min="4" max="11" width="9" style="99"/>
    <col min="12" max="12" width="19.5" style="99" customWidth="1"/>
    <col min="13" max="21" width="9" style="99"/>
    <col min="22" max="22" width="0" style="99" hidden="1" customWidth="1"/>
    <col min="23" max="26" width="9" style="99"/>
    <col min="27" max="27" width="0" style="99" hidden="1" customWidth="1"/>
    <col min="28" max="16384" width="9" style="99"/>
  </cols>
  <sheetData>
    <row r="1" spans="1:13" ht="20.25" customHeight="1">
      <c r="A1" s="259" t="s">
        <v>1264</v>
      </c>
      <c r="B1" s="260"/>
      <c r="C1" s="260"/>
      <c r="D1" s="260"/>
      <c r="E1" s="260"/>
      <c r="F1" s="260"/>
      <c r="G1" s="260"/>
      <c r="H1" s="202"/>
      <c r="I1" s="202"/>
      <c r="J1" s="266" t="s">
        <v>1376</v>
      </c>
      <c r="K1" s="267"/>
      <c r="L1" s="267"/>
      <c r="M1" s="203"/>
    </row>
    <row r="2" spans="1:13" s="100" customFormat="1" ht="33.75" customHeight="1">
      <c r="A2" s="261"/>
      <c r="B2" s="262"/>
      <c r="C2" s="262"/>
      <c r="D2" s="262"/>
      <c r="E2" s="262"/>
      <c r="F2" s="262"/>
      <c r="G2" s="262"/>
      <c r="H2" s="270" t="s">
        <v>1377</v>
      </c>
      <c r="I2" s="271"/>
      <c r="J2" s="271"/>
      <c r="K2" s="271"/>
      <c r="L2" s="271"/>
      <c r="M2" s="204"/>
    </row>
    <row r="4" spans="1:13" ht="17.25" customHeight="1">
      <c r="B4" s="268" t="s">
        <v>1265</v>
      </c>
      <c r="C4" s="268"/>
      <c r="D4" s="268"/>
      <c r="E4" s="268"/>
      <c r="F4" s="268"/>
      <c r="G4" s="268"/>
      <c r="H4" s="268"/>
      <c r="I4" s="268"/>
      <c r="J4" s="268"/>
      <c r="K4" s="268"/>
      <c r="L4" s="268"/>
    </row>
    <row r="5" spans="1:13" ht="27.75" customHeight="1">
      <c r="B5" s="268"/>
      <c r="C5" s="268"/>
      <c r="D5" s="268"/>
      <c r="E5" s="268"/>
      <c r="F5" s="268"/>
      <c r="G5" s="268"/>
      <c r="H5" s="268"/>
      <c r="I5" s="268"/>
      <c r="J5" s="268"/>
      <c r="K5" s="268"/>
      <c r="L5" s="268"/>
    </row>
    <row r="6" spans="1:13" s="100" customFormat="1" ht="12.75">
      <c r="B6" s="101"/>
    </row>
    <row r="7" spans="1:13" s="100" customFormat="1" ht="18.75">
      <c r="B7" s="102" t="s">
        <v>1266</v>
      </c>
      <c r="D7" s="103"/>
    </row>
    <row r="8" spans="1:13" s="100" customFormat="1" ht="7.5" customHeight="1">
      <c r="B8" s="101"/>
    </row>
    <row r="9" spans="1:13" s="100" customFormat="1" ht="34.5" customHeight="1" thickBot="1">
      <c r="A9" s="104"/>
      <c r="B9" s="105" t="s">
        <v>530</v>
      </c>
      <c r="C9" s="104"/>
      <c r="D9" s="264" t="s">
        <v>1083</v>
      </c>
      <c r="E9" s="264"/>
      <c r="F9" s="264"/>
      <c r="G9" s="264"/>
      <c r="H9" s="264"/>
      <c r="I9" s="264"/>
      <c r="J9" s="264"/>
      <c r="K9" s="264"/>
      <c r="L9" s="264"/>
    </row>
    <row r="10" spans="1:13" s="100" customFormat="1" ht="27.75" customHeight="1" thickTop="1" thickBot="1">
      <c r="A10" s="104"/>
      <c r="B10" s="106" t="s">
        <v>531</v>
      </c>
      <c r="C10" s="104"/>
      <c r="D10" s="264" t="s">
        <v>1267</v>
      </c>
      <c r="E10" s="264"/>
      <c r="F10" s="264"/>
      <c r="G10" s="264"/>
      <c r="H10" s="264"/>
      <c r="I10" s="264"/>
      <c r="J10" s="264"/>
      <c r="K10" s="264"/>
      <c r="L10" s="264"/>
    </row>
    <row r="11" spans="1:13" s="100" customFormat="1" ht="27.75" customHeight="1" thickTop="1" thickBot="1">
      <c r="A11" s="104"/>
      <c r="B11" s="107" t="s">
        <v>532</v>
      </c>
      <c r="C11" s="104"/>
      <c r="D11" s="264" t="s">
        <v>1268</v>
      </c>
      <c r="E11" s="264"/>
      <c r="F11" s="264"/>
      <c r="G11" s="264"/>
      <c r="H11" s="264"/>
      <c r="I11" s="264"/>
      <c r="J11" s="264"/>
      <c r="K11" s="264"/>
      <c r="L11" s="264"/>
    </row>
    <row r="12" spans="1:13" s="100" customFormat="1" ht="27.75" customHeight="1" thickTop="1" thickBot="1">
      <c r="A12" s="104"/>
      <c r="B12" s="108" t="s">
        <v>533</v>
      </c>
      <c r="C12" s="104"/>
      <c r="D12" s="264" t="s">
        <v>1269</v>
      </c>
      <c r="E12" s="264"/>
      <c r="F12" s="264"/>
      <c r="G12" s="264"/>
      <c r="H12" s="264"/>
      <c r="I12" s="264"/>
      <c r="J12" s="264"/>
      <c r="K12" s="264"/>
      <c r="L12" s="264"/>
    </row>
    <row r="13" spans="1:13" s="100" customFormat="1" ht="27.75" customHeight="1" thickTop="1" thickBot="1">
      <c r="A13" s="104"/>
      <c r="B13" s="109" t="s">
        <v>1060</v>
      </c>
      <c r="C13" s="104"/>
      <c r="D13" s="264" t="s">
        <v>1124</v>
      </c>
      <c r="E13" s="264"/>
      <c r="F13" s="264"/>
      <c r="G13" s="264"/>
      <c r="H13" s="264"/>
      <c r="I13" s="264"/>
      <c r="J13" s="264"/>
      <c r="K13" s="264"/>
      <c r="L13" s="264"/>
    </row>
    <row r="14" spans="1:13" s="100" customFormat="1" ht="27.75" customHeight="1" thickTop="1" thickBot="1">
      <c r="A14" s="104"/>
      <c r="B14" s="109" t="s">
        <v>1001</v>
      </c>
      <c r="C14" s="104"/>
      <c r="D14" s="269" t="s">
        <v>1270</v>
      </c>
      <c r="E14" s="269"/>
      <c r="F14" s="269"/>
      <c r="G14" s="269"/>
      <c r="H14" s="269"/>
      <c r="I14" s="269"/>
      <c r="J14" s="269"/>
      <c r="K14" s="269"/>
      <c r="L14" s="269"/>
    </row>
    <row r="15" spans="1:13" s="100" customFormat="1" ht="27.75" customHeight="1" thickTop="1" thickBot="1">
      <c r="A15" s="104"/>
      <c r="B15" s="110" t="s">
        <v>534</v>
      </c>
      <c r="C15" s="104"/>
      <c r="D15" s="264" t="s">
        <v>1271</v>
      </c>
      <c r="E15" s="264"/>
      <c r="F15" s="264"/>
      <c r="G15" s="264"/>
      <c r="H15" s="264"/>
      <c r="I15" s="264"/>
      <c r="J15" s="264"/>
      <c r="K15" s="264"/>
      <c r="L15" s="264"/>
    </row>
    <row r="16" spans="1:13" ht="16.5" thickTop="1">
      <c r="A16" s="111"/>
      <c r="B16" s="112"/>
      <c r="C16" s="111"/>
      <c r="D16" s="113"/>
      <c r="E16" s="113"/>
      <c r="F16" s="113"/>
      <c r="G16" s="113"/>
      <c r="H16" s="113"/>
      <c r="I16" s="113"/>
      <c r="J16" s="113"/>
      <c r="K16" s="113"/>
      <c r="L16" s="113"/>
    </row>
    <row r="17" spans="2:12" s="100" customFormat="1" ht="18.75">
      <c r="B17" s="102" t="s">
        <v>1272</v>
      </c>
      <c r="D17" s="103"/>
    </row>
    <row r="18" spans="2:12" s="100" customFormat="1" ht="5.25" customHeight="1">
      <c r="B18" s="114"/>
      <c r="D18" s="103"/>
    </row>
    <row r="19" spans="2:12" s="100" customFormat="1" ht="24.75" customHeight="1" thickBot="1">
      <c r="B19" s="115" t="s">
        <v>1273</v>
      </c>
      <c r="D19" s="263" t="s">
        <v>1283</v>
      </c>
      <c r="E19" s="263"/>
      <c r="F19" s="263"/>
      <c r="G19" s="263"/>
      <c r="H19" s="263"/>
      <c r="I19" s="263"/>
      <c r="J19" s="263"/>
      <c r="K19" s="263"/>
      <c r="L19" s="122" t="s">
        <v>1110</v>
      </c>
    </row>
    <row r="20" spans="2:12" s="100" customFormat="1" ht="41.25" customHeight="1" thickTop="1" thickBot="1">
      <c r="B20" s="115" t="s">
        <v>1274</v>
      </c>
      <c r="D20" s="263" t="s">
        <v>1284</v>
      </c>
      <c r="E20" s="263"/>
      <c r="F20" s="263"/>
      <c r="G20" s="263"/>
      <c r="H20" s="263"/>
      <c r="I20" s="263"/>
      <c r="J20" s="263"/>
      <c r="K20" s="263"/>
      <c r="L20" s="122" t="s">
        <v>1110</v>
      </c>
    </row>
    <row r="21" spans="2:12" s="100" customFormat="1" ht="37.5" customHeight="1" thickTop="1" thickBot="1">
      <c r="B21" s="115" t="s">
        <v>1275</v>
      </c>
      <c r="D21" s="263" t="s">
        <v>1285</v>
      </c>
      <c r="E21" s="263"/>
      <c r="F21" s="263"/>
      <c r="G21" s="263"/>
      <c r="H21" s="263"/>
      <c r="I21" s="263"/>
      <c r="J21" s="263"/>
      <c r="K21" s="263"/>
      <c r="L21" s="122" t="s">
        <v>1110</v>
      </c>
    </row>
    <row r="22" spans="2:12" s="100" customFormat="1" ht="41.25" customHeight="1" thickTop="1" thickBot="1">
      <c r="B22" s="115" t="s">
        <v>1276</v>
      </c>
      <c r="D22" s="263" t="s">
        <v>1286</v>
      </c>
      <c r="E22" s="263"/>
      <c r="F22" s="263"/>
      <c r="G22" s="263"/>
      <c r="H22" s="263"/>
      <c r="I22" s="263"/>
      <c r="J22" s="263"/>
      <c r="K22" s="263"/>
      <c r="L22" s="122" t="s">
        <v>1110</v>
      </c>
    </row>
    <row r="23" spans="2:12" s="100" customFormat="1" ht="36" customHeight="1" thickTop="1" thickBot="1">
      <c r="B23" s="115" t="s">
        <v>1277</v>
      </c>
      <c r="D23" s="263" t="s">
        <v>1140</v>
      </c>
      <c r="E23" s="263"/>
      <c r="F23" s="263"/>
      <c r="G23" s="263"/>
      <c r="H23" s="263"/>
      <c r="I23" s="263"/>
      <c r="J23" s="263"/>
      <c r="K23" s="263"/>
      <c r="L23" s="122" t="s">
        <v>1110</v>
      </c>
    </row>
    <row r="24" spans="2:12" s="100" customFormat="1" ht="52.5" customHeight="1" thickTop="1" thickBot="1">
      <c r="B24" s="115" t="s">
        <v>1278</v>
      </c>
      <c r="D24" s="263" t="s">
        <v>1287</v>
      </c>
      <c r="E24" s="263"/>
      <c r="F24" s="263"/>
      <c r="G24" s="263"/>
      <c r="H24" s="263"/>
      <c r="I24" s="263"/>
      <c r="J24" s="263"/>
      <c r="K24" s="263"/>
      <c r="L24" s="122" t="s">
        <v>1110</v>
      </c>
    </row>
    <row r="25" spans="2:12" s="100" customFormat="1" ht="57" customHeight="1" thickTop="1" thickBot="1">
      <c r="B25" s="115" t="s">
        <v>1353</v>
      </c>
      <c r="D25" s="263" t="s">
        <v>1288</v>
      </c>
      <c r="E25" s="263"/>
      <c r="F25" s="263"/>
      <c r="G25" s="263"/>
      <c r="H25" s="263"/>
      <c r="I25" s="263"/>
      <c r="J25" s="263"/>
      <c r="K25" s="263"/>
      <c r="L25" s="122" t="s">
        <v>1110</v>
      </c>
    </row>
    <row r="26" spans="2:12" s="100" customFormat="1" ht="48.75" customHeight="1" thickTop="1" thickBot="1">
      <c r="B26" s="115" t="s">
        <v>1279</v>
      </c>
      <c r="D26" s="263" t="s">
        <v>1289</v>
      </c>
      <c r="E26" s="263"/>
      <c r="F26" s="263"/>
      <c r="G26" s="263"/>
      <c r="H26" s="263"/>
      <c r="I26" s="263"/>
      <c r="J26" s="263"/>
      <c r="K26" s="263"/>
      <c r="L26" s="122" t="s">
        <v>1110</v>
      </c>
    </row>
    <row r="27" spans="2:12" s="100" customFormat="1" ht="43.5" customHeight="1" thickTop="1" thickBot="1">
      <c r="B27" s="115" t="s">
        <v>1280</v>
      </c>
      <c r="D27" s="263" t="s">
        <v>1290</v>
      </c>
      <c r="E27" s="263"/>
      <c r="F27" s="263"/>
      <c r="G27" s="263"/>
      <c r="H27" s="263"/>
      <c r="I27" s="263"/>
      <c r="J27" s="263"/>
      <c r="K27" s="263"/>
      <c r="L27" s="122" t="s">
        <v>1110</v>
      </c>
    </row>
    <row r="28" spans="2:12" s="100" customFormat="1" ht="43.5" customHeight="1" thickTop="1" thickBot="1">
      <c r="B28" s="115" t="s">
        <v>1281</v>
      </c>
      <c r="D28" s="263" t="s">
        <v>1291</v>
      </c>
      <c r="E28" s="263"/>
      <c r="F28" s="263"/>
      <c r="G28" s="263"/>
      <c r="H28" s="263"/>
      <c r="I28" s="263"/>
      <c r="J28" s="263"/>
      <c r="K28" s="263"/>
      <c r="L28" s="122" t="s">
        <v>1110</v>
      </c>
    </row>
    <row r="29" spans="2:12" s="100" customFormat="1" ht="50.25" customHeight="1" thickTop="1" thickBot="1">
      <c r="B29" s="115" t="s">
        <v>533</v>
      </c>
      <c r="D29" s="263" t="s">
        <v>1146</v>
      </c>
      <c r="E29" s="263"/>
      <c r="F29" s="263"/>
      <c r="G29" s="263"/>
      <c r="H29" s="263"/>
      <c r="I29" s="263"/>
      <c r="J29" s="263"/>
      <c r="K29" s="263"/>
      <c r="L29" s="122" t="s">
        <v>1110</v>
      </c>
    </row>
    <row r="30" spans="2:12" s="100" customFormat="1" ht="57.75" customHeight="1" thickTop="1" thickBot="1">
      <c r="B30" s="115" t="s">
        <v>1108</v>
      </c>
      <c r="D30" s="263" t="s">
        <v>1292</v>
      </c>
      <c r="E30" s="263"/>
      <c r="F30" s="263"/>
      <c r="G30" s="263"/>
      <c r="H30" s="263"/>
      <c r="I30" s="263"/>
      <c r="J30" s="263"/>
      <c r="K30" s="263"/>
      <c r="L30" s="122" t="s">
        <v>1110</v>
      </c>
    </row>
    <row r="31" spans="2:12" s="100" customFormat="1" ht="67.5" customHeight="1" thickTop="1" thickBot="1">
      <c r="B31" s="115" t="s">
        <v>1282</v>
      </c>
      <c r="D31" s="263" t="s">
        <v>1148</v>
      </c>
      <c r="E31" s="263"/>
      <c r="F31" s="263"/>
      <c r="G31" s="263"/>
      <c r="H31" s="263"/>
      <c r="I31" s="263"/>
      <c r="J31" s="263"/>
      <c r="K31" s="263"/>
      <c r="L31" s="122" t="s">
        <v>1110</v>
      </c>
    </row>
    <row r="32" spans="2:12" s="100" customFormat="1" thickTop="1">
      <c r="B32" s="116"/>
      <c r="D32" s="103"/>
      <c r="L32" s="104"/>
    </row>
    <row r="33" spans="2:12" s="100" customFormat="1" ht="18.75" customHeight="1">
      <c r="B33" s="117" t="s">
        <v>1380</v>
      </c>
      <c r="C33" s="118"/>
      <c r="D33" s="119"/>
      <c r="E33" s="118"/>
      <c r="F33" s="118"/>
      <c r="G33" s="118"/>
      <c r="H33" s="118"/>
      <c r="I33" s="118"/>
      <c r="J33" s="118"/>
      <c r="K33" s="118"/>
      <c r="L33" s="120"/>
    </row>
    <row r="34" spans="2:12" s="100" customFormat="1" ht="59.25" customHeight="1">
      <c r="B34" s="265" t="s">
        <v>1293</v>
      </c>
      <c r="C34" s="265"/>
      <c r="D34" s="265"/>
      <c r="E34" s="265"/>
      <c r="F34" s="265"/>
      <c r="G34" s="265"/>
      <c r="H34" s="265"/>
      <c r="I34" s="265"/>
      <c r="J34" s="265"/>
      <c r="K34" s="265"/>
      <c r="L34" s="265"/>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OE185"/>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125" style="154" hidden="1" customWidth="1"/>
    <col min="2" max="2" width="9" style="154" hidden="1" customWidth="1"/>
    <col min="3" max="3" width="8.375" style="154" hidden="1" customWidth="1"/>
    <col min="4" max="4" width="12.75" style="155" customWidth="1"/>
    <col min="5" max="13" width="2.75" style="156" customWidth="1"/>
    <col min="14" max="14" width="4.5" style="156" bestFit="1" customWidth="1"/>
    <col min="15" max="15" width="5.25" style="156" bestFit="1" customWidth="1"/>
    <col min="16" max="17" width="9.875" style="157" bestFit="1" customWidth="1"/>
    <col min="18" max="18" width="7.625" style="158" hidden="1" customWidth="1"/>
    <col min="19" max="19" width="6.375" style="159" bestFit="1" customWidth="1"/>
    <col min="20" max="21" width="5.875" style="159" bestFit="1" customWidth="1"/>
    <col min="22" max="22" width="5" style="159" bestFit="1" customWidth="1"/>
    <col min="23" max="24" width="9.75" style="157" hidden="1" customWidth="1"/>
    <col min="25" max="25" width="7.5" style="160" hidden="1" customWidth="1"/>
    <col min="26" max="26" width="6" style="161" hidden="1" customWidth="1"/>
    <col min="27" max="27" width="6.125" style="159" hidden="1" customWidth="1"/>
    <col min="28" max="28" width="11" style="158" bestFit="1" customWidth="1"/>
    <col min="29" max="29" width="10.25" style="162" bestFit="1" customWidth="1"/>
    <col min="30" max="30" width="7.75" style="163" bestFit="1" customWidth="1"/>
    <col min="31" max="31" width="7.25" style="164" customWidth="1"/>
    <col min="32" max="395" width="1.875" style="142" customWidth="1"/>
    <col min="396" max="16384" width="10" style="142"/>
  </cols>
  <sheetData>
    <row r="1" spans="1:395" s="126" customFormat="1" ht="20.100000000000001" customHeight="1">
      <c r="A1" s="169"/>
      <c r="B1" s="170"/>
      <c r="C1" s="171"/>
      <c r="D1" s="172" t="str">
        <f ca="1">xlgantt.ProjectName()</f>
        <v>XYZ시스템 구축</v>
      </c>
      <c r="E1" s="173"/>
      <c r="F1" s="173"/>
      <c r="G1" s="173"/>
      <c r="H1" s="173"/>
      <c r="I1" s="173"/>
      <c r="J1" s="173"/>
      <c r="K1" s="173"/>
      <c r="L1" s="173"/>
      <c r="M1" s="173"/>
      <c r="N1" s="173"/>
      <c r="O1" s="173"/>
      <c r="P1" s="173"/>
      <c r="Q1" s="174"/>
      <c r="R1" s="175"/>
      <c r="S1" s="176"/>
      <c r="T1" s="177"/>
      <c r="U1" s="178"/>
      <c r="V1" s="178"/>
      <c r="W1" s="179"/>
      <c r="X1" s="179"/>
      <c r="Y1" s="170"/>
      <c r="Z1" s="180"/>
      <c r="AA1" s="181"/>
      <c r="AB1" s="182"/>
      <c r="AC1" s="183"/>
      <c r="AD1" s="184"/>
      <c r="AE1" s="185" t="str" cm="1">
        <f t="array" aca="1" ref="AE1" ca="1">xlgantt.ProjectProgressString()</f>
        <v>2021-01-04~2021-12-31 [계획:6.03% 실적:0.00%]</v>
      </c>
      <c r="AF1" s="191" t="s">
        <v>1357</v>
      </c>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c r="BE1" s="125"/>
      <c r="BF1" s="125"/>
      <c r="BG1" s="125"/>
      <c r="BH1" s="125"/>
      <c r="BI1" s="125"/>
      <c r="BJ1" s="125"/>
    </row>
    <row r="2" spans="1:395" s="126" customFormat="1" ht="15" customHeight="1">
      <c r="A2" s="169"/>
      <c r="B2" s="169"/>
      <c r="C2" s="171"/>
      <c r="D2" s="294"/>
      <c r="E2" s="294"/>
      <c r="F2" s="294"/>
      <c r="G2" s="186"/>
      <c r="H2" s="187"/>
      <c r="I2" s="186"/>
      <c r="J2" s="186"/>
      <c r="K2" s="186"/>
      <c r="L2" s="186"/>
      <c r="M2" s="186"/>
      <c r="N2" s="186"/>
      <c r="O2" s="186"/>
      <c r="P2" s="186"/>
      <c r="Q2" s="186"/>
      <c r="R2" s="186"/>
      <c r="S2" s="188"/>
      <c r="T2" s="188"/>
      <c r="U2" s="188"/>
      <c r="V2" s="188"/>
      <c r="W2" s="186"/>
      <c r="X2" s="186"/>
      <c r="Y2" s="186"/>
      <c r="Z2" s="186"/>
      <c r="AA2" s="186"/>
      <c r="AB2" s="186"/>
      <c r="AC2" s="189"/>
      <c r="AD2" s="190"/>
      <c r="AE2" s="186" t="str" cm="1">
        <f t="array" aca="1" ref="AE2" ca="1">xlgantt.CommentOnHeadArea()</f>
        <v>별(*)표시는 필수입력</v>
      </c>
      <c r="AF2" s="275" t="s">
        <v>1222</v>
      </c>
      <c r="AG2" s="275"/>
      <c r="AH2" s="275"/>
      <c r="AI2" s="275"/>
      <c r="AJ2" s="275" t="s">
        <v>1242</v>
      </c>
      <c r="AK2" s="275"/>
      <c r="AL2" s="275"/>
      <c r="AM2" s="275"/>
      <c r="AN2" s="275" t="s">
        <v>1243</v>
      </c>
      <c r="AO2" s="275"/>
      <c r="AP2" s="275"/>
      <c r="AQ2" s="275"/>
      <c r="AR2" s="275" t="s">
        <v>1244</v>
      </c>
      <c r="AS2" s="275"/>
      <c r="AT2" s="275"/>
      <c r="AU2" s="275"/>
      <c r="AV2" s="275" t="s">
        <v>1245</v>
      </c>
      <c r="AW2" s="275"/>
      <c r="AX2" s="275"/>
      <c r="AY2" s="275"/>
      <c r="AZ2" s="275" t="s">
        <v>1246</v>
      </c>
      <c r="BA2" s="275"/>
      <c r="BB2" s="275"/>
      <c r="BC2" s="275"/>
      <c r="BD2" s="275" t="s">
        <v>1395</v>
      </c>
      <c r="BE2" s="275"/>
      <c r="BF2" s="275"/>
      <c r="BG2" s="275"/>
      <c r="BH2" s="275" t="s">
        <v>1396</v>
      </c>
      <c r="BI2" s="275"/>
      <c r="BJ2" s="275"/>
      <c r="BK2" s="275"/>
      <c r="BL2" s="275" t="s">
        <v>1397</v>
      </c>
      <c r="BM2" s="275"/>
      <c r="BN2" s="275"/>
      <c r="BO2" s="275"/>
      <c r="BP2" s="275" t="s">
        <v>1398</v>
      </c>
      <c r="BQ2" s="275"/>
      <c r="BR2" s="275"/>
      <c r="BS2" s="275"/>
      <c r="BT2" s="275" t="s">
        <v>1399</v>
      </c>
      <c r="BU2" s="275"/>
      <c r="BV2" s="275"/>
      <c r="BW2" s="275"/>
      <c r="BX2" s="275" t="s">
        <v>1400</v>
      </c>
      <c r="BY2" s="275"/>
      <c r="BZ2" s="275"/>
      <c r="CA2" s="275"/>
      <c r="CB2" s="275" t="s">
        <v>1401</v>
      </c>
      <c r="CC2" s="275"/>
      <c r="CD2" s="275"/>
      <c r="CE2" s="275"/>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8"/>
      <c r="DP2" s="258"/>
      <c r="DQ2" s="258"/>
      <c r="DR2" s="258"/>
      <c r="DS2" s="258"/>
      <c r="DT2" s="258"/>
      <c r="DU2" s="258"/>
      <c r="DV2" s="258"/>
      <c r="DW2" s="258"/>
      <c r="DX2" s="258"/>
      <c r="DY2" s="258"/>
      <c r="DZ2" s="258"/>
      <c r="EA2" s="258"/>
      <c r="EB2" s="258"/>
      <c r="EC2" s="258"/>
      <c r="ED2" s="258"/>
      <c r="EE2" s="258"/>
      <c r="EF2" s="258"/>
      <c r="EG2" s="258"/>
      <c r="EH2" s="258"/>
      <c r="EI2" s="258"/>
      <c r="EJ2" s="258"/>
      <c r="EK2" s="258"/>
      <c r="EL2" s="258"/>
      <c r="EM2" s="258"/>
      <c r="EN2" s="258"/>
      <c r="EO2" s="258"/>
      <c r="EP2" s="258"/>
      <c r="EQ2" s="258"/>
      <c r="ER2" s="258"/>
      <c r="ES2" s="258"/>
      <c r="ET2" s="258"/>
      <c r="EU2" s="258"/>
      <c r="EV2" s="258"/>
      <c r="EW2" s="258"/>
      <c r="EX2" s="258"/>
      <c r="EY2" s="258"/>
      <c r="EZ2" s="258"/>
      <c r="FA2" s="258"/>
      <c r="FB2" s="258"/>
      <c r="FC2" s="258"/>
      <c r="FD2" s="258"/>
      <c r="FE2" s="258"/>
      <c r="FF2" s="258"/>
      <c r="FG2" s="258"/>
      <c r="FH2" s="258"/>
      <c r="FI2" s="258"/>
      <c r="FJ2" s="258"/>
      <c r="FK2" s="258"/>
      <c r="FL2" s="258"/>
      <c r="FM2" s="258"/>
      <c r="FN2" s="258"/>
      <c r="FO2" s="258"/>
      <c r="FP2" s="258"/>
      <c r="FQ2" s="258"/>
      <c r="FR2" s="258"/>
      <c r="FS2" s="258"/>
      <c r="FT2" s="258"/>
      <c r="FU2" s="258"/>
      <c r="FV2" s="258"/>
      <c r="FW2" s="258"/>
      <c r="FX2" s="258"/>
      <c r="FY2" s="258"/>
      <c r="FZ2" s="258"/>
      <c r="GA2" s="258"/>
      <c r="GB2" s="258"/>
      <c r="GC2" s="258"/>
      <c r="GD2" s="258"/>
      <c r="GE2" s="258"/>
      <c r="GF2" s="258"/>
      <c r="GG2" s="258"/>
      <c r="GH2" s="258"/>
      <c r="GI2" s="258"/>
      <c r="GJ2" s="258"/>
      <c r="GK2" s="258"/>
      <c r="GL2" s="258"/>
      <c r="GM2" s="258"/>
      <c r="GN2" s="258"/>
      <c r="GO2" s="258"/>
      <c r="GP2" s="258"/>
      <c r="GQ2" s="258"/>
      <c r="GR2" s="258"/>
      <c r="GS2" s="258"/>
      <c r="GT2" s="258"/>
      <c r="GU2" s="258"/>
      <c r="GV2" s="258"/>
      <c r="GW2" s="258"/>
      <c r="GX2" s="258"/>
      <c r="GY2" s="258"/>
      <c r="GZ2" s="258"/>
      <c r="HA2" s="258"/>
      <c r="HB2" s="258"/>
      <c r="HC2" s="258"/>
      <c r="HD2" s="258"/>
      <c r="HE2" s="258"/>
      <c r="HF2" s="258"/>
      <c r="HG2" s="258"/>
      <c r="HH2" s="258"/>
      <c r="HI2" s="258"/>
      <c r="HJ2" s="258"/>
      <c r="HK2" s="258"/>
      <c r="HL2" s="258"/>
      <c r="HM2" s="258"/>
      <c r="HN2" s="258"/>
      <c r="HO2" s="258"/>
      <c r="HP2" s="258"/>
      <c r="HQ2" s="258"/>
      <c r="HR2" s="258"/>
      <c r="HS2" s="258"/>
      <c r="HT2" s="258"/>
      <c r="HU2" s="258"/>
      <c r="HV2" s="258"/>
      <c r="HW2" s="258"/>
      <c r="HX2" s="258"/>
      <c r="HY2" s="258"/>
      <c r="HZ2" s="258"/>
      <c r="IA2" s="258"/>
      <c r="IB2" s="258"/>
      <c r="IC2" s="258"/>
      <c r="ID2" s="258"/>
      <c r="IE2" s="258"/>
      <c r="IF2" s="258"/>
      <c r="IG2" s="258"/>
      <c r="IH2" s="258"/>
      <c r="II2" s="258"/>
      <c r="IJ2" s="258"/>
      <c r="IK2" s="258"/>
      <c r="IL2" s="258"/>
      <c r="IM2" s="258"/>
      <c r="IN2" s="258"/>
      <c r="IO2" s="258"/>
      <c r="IP2" s="258"/>
      <c r="IQ2" s="258"/>
      <c r="IR2" s="258"/>
      <c r="IS2" s="258"/>
      <c r="IT2" s="258"/>
      <c r="IU2" s="258"/>
      <c r="IV2" s="258"/>
      <c r="IW2" s="258"/>
      <c r="IX2" s="258"/>
      <c r="IY2" s="258"/>
      <c r="IZ2" s="258"/>
      <c r="JA2" s="258"/>
      <c r="JB2" s="258"/>
      <c r="JC2" s="258"/>
      <c r="JD2" s="258"/>
      <c r="JE2" s="258"/>
      <c r="JF2" s="258"/>
      <c r="JG2" s="258"/>
      <c r="JH2" s="258"/>
      <c r="JI2" s="258"/>
      <c r="JJ2" s="258"/>
      <c r="JK2" s="258"/>
      <c r="JL2" s="258"/>
      <c r="JM2" s="258"/>
      <c r="JN2" s="258"/>
      <c r="JO2" s="258"/>
      <c r="JP2" s="258"/>
      <c r="JQ2" s="258"/>
      <c r="JR2" s="258"/>
      <c r="JS2" s="258"/>
      <c r="JT2" s="258"/>
      <c r="JU2" s="258"/>
      <c r="JV2" s="258"/>
      <c r="JW2" s="258"/>
      <c r="JX2" s="258"/>
      <c r="JY2" s="258"/>
      <c r="JZ2" s="258"/>
      <c r="KA2" s="258"/>
      <c r="KB2" s="258"/>
      <c r="KC2" s="258"/>
      <c r="KD2" s="258"/>
      <c r="KE2" s="258"/>
      <c r="KF2" s="258"/>
      <c r="KG2" s="258"/>
      <c r="KH2" s="258"/>
      <c r="KI2" s="258"/>
      <c r="KJ2" s="258"/>
      <c r="KK2" s="258"/>
      <c r="KL2" s="258"/>
      <c r="KM2" s="258"/>
      <c r="KN2" s="258"/>
      <c r="KO2" s="258"/>
      <c r="KP2" s="258"/>
      <c r="KQ2" s="258"/>
      <c r="KR2" s="258"/>
      <c r="KS2" s="258"/>
      <c r="KT2" s="258"/>
      <c r="KU2" s="258"/>
      <c r="KV2" s="258"/>
      <c r="KW2" s="258"/>
      <c r="KX2" s="258"/>
      <c r="KY2" s="258"/>
      <c r="KZ2" s="258"/>
      <c r="LA2" s="258"/>
      <c r="LB2" s="258"/>
      <c r="LC2" s="258"/>
      <c r="LD2" s="258"/>
      <c r="LE2" s="258"/>
      <c r="LF2" s="258"/>
      <c r="LG2" s="258"/>
      <c r="LH2" s="258"/>
      <c r="LI2" s="258"/>
      <c r="LJ2" s="258"/>
      <c r="LK2" s="258"/>
      <c r="LL2" s="258"/>
      <c r="LM2" s="258"/>
      <c r="LN2" s="258"/>
      <c r="LO2" s="258"/>
      <c r="LP2" s="258"/>
      <c r="LQ2" s="258"/>
      <c r="LR2" s="258"/>
      <c r="LS2" s="258"/>
      <c r="LT2" s="258"/>
      <c r="LU2" s="258"/>
      <c r="LV2" s="258"/>
      <c r="LW2" s="258"/>
      <c r="LX2" s="258"/>
      <c r="LY2" s="258"/>
      <c r="LZ2" s="258"/>
      <c r="MA2" s="258"/>
      <c r="MB2" s="258"/>
      <c r="MC2" s="258"/>
      <c r="MD2" s="258"/>
      <c r="ME2" s="258"/>
      <c r="MF2" s="258"/>
      <c r="MG2" s="258"/>
      <c r="MH2" s="258"/>
      <c r="MI2" s="258"/>
      <c r="MJ2" s="258"/>
      <c r="MK2" s="258"/>
      <c r="ML2" s="258"/>
      <c r="MM2" s="258"/>
      <c r="MN2" s="258"/>
      <c r="MO2" s="258"/>
      <c r="MP2" s="258"/>
      <c r="MQ2" s="258"/>
      <c r="MR2" s="258"/>
      <c r="MS2" s="258"/>
      <c r="MT2" s="258"/>
      <c r="MU2" s="258"/>
      <c r="MV2" s="258"/>
      <c r="MW2" s="258"/>
      <c r="MX2" s="258"/>
      <c r="MY2" s="258"/>
      <c r="MZ2" s="258"/>
      <c r="NA2" s="258"/>
      <c r="NB2" s="258"/>
      <c r="NC2" s="258"/>
      <c r="ND2" s="258"/>
      <c r="NE2" s="258"/>
      <c r="NF2" s="258"/>
      <c r="NG2" s="258"/>
      <c r="NH2" s="258"/>
      <c r="NI2" s="258"/>
      <c r="NJ2" s="258"/>
      <c r="NK2" s="258"/>
      <c r="NL2" s="258"/>
      <c r="NM2" s="258"/>
      <c r="NN2" s="258"/>
      <c r="NO2" s="258"/>
      <c r="NP2" s="258"/>
      <c r="NQ2" s="258"/>
      <c r="NR2" s="258"/>
      <c r="NS2" s="258"/>
      <c r="NT2" s="258"/>
      <c r="NU2" s="258"/>
      <c r="NV2" s="258"/>
      <c r="NW2" s="258"/>
      <c r="NX2" s="258"/>
      <c r="NY2" s="258"/>
      <c r="NZ2" s="258"/>
      <c r="OA2" s="258"/>
      <c r="OB2" s="258"/>
      <c r="OC2" s="258"/>
      <c r="OD2" s="258"/>
      <c r="OE2" s="258"/>
    </row>
    <row r="3" spans="1:395" s="127" customFormat="1" ht="18.95" customHeight="1">
      <c r="A3" s="284" t="s">
        <v>551</v>
      </c>
      <c r="B3" s="286" t="s">
        <v>546</v>
      </c>
      <c r="C3" s="288" t="s">
        <v>553</v>
      </c>
      <c r="D3" s="289" t="s">
        <v>547</v>
      </c>
      <c r="E3" s="290" t="s">
        <v>1310</v>
      </c>
      <c r="F3" s="291"/>
      <c r="G3" s="291"/>
      <c r="H3" s="291"/>
      <c r="I3" s="291"/>
      <c r="J3" s="291"/>
      <c r="K3" s="291"/>
      <c r="L3" s="291"/>
      <c r="M3" s="291"/>
      <c r="N3" s="291"/>
      <c r="O3" s="282" t="s">
        <v>1311</v>
      </c>
      <c r="P3" s="282" t="s">
        <v>1312</v>
      </c>
      <c r="Q3" s="282" t="s">
        <v>1313</v>
      </c>
      <c r="R3" s="300" t="s">
        <v>1352</v>
      </c>
      <c r="S3" s="295" t="s">
        <v>1314</v>
      </c>
      <c r="T3" s="302" t="s">
        <v>1315</v>
      </c>
      <c r="U3" s="295" t="s">
        <v>1316</v>
      </c>
      <c r="V3" s="295" t="s">
        <v>1317</v>
      </c>
      <c r="W3" s="297" t="s">
        <v>1318</v>
      </c>
      <c r="X3" s="297" t="s">
        <v>1319</v>
      </c>
      <c r="Y3" s="304" t="s">
        <v>1320</v>
      </c>
      <c r="Z3" s="298" t="s">
        <v>1321</v>
      </c>
      <c r="AA3" s="306" t="s">
        <v>1322</v>
      </c>
      <c r="AB3" s="282" t="s">
        <v>1323</v>
      </c>
      <c r="AC3" s="276" t="s">
        <v>1354</v>
      </c>
      <c r="AD3" s="280" t="s">
        <v>1324</v>
      </c>
      <c r="AE3" s="278" t="s">
        <v>1325</v>
      </c>
      <c r="AF3" s="293" t="s">
        <v>1598</v>
      </c>
      <c r="AG3" s="273"/>
      <c r="AH3" s="273"/>
      <c r="AI3" s="273"/>
      <c r="AJ3" s="272" t="s">
        <v>1599</v>
      </c>
      <c r="AK3" s="273"/>
      <c r="AL3" s="273"/>
      <c r="AM3" s="273"/>
      <c r="AN3" s="272" t="s">
        <v>1600</v>
      </c>
      <c r="AO3" s="273"/>
      <c r="AP3" s="273"/>
      <c r="AQ3" s="273"/>
      <c r="AR3" s="272" t="s">
        <v>1601</v>
      </c>
      <c r="AS3" s="273"/>
      <c r="AT3" s="273"/>
      <c r="AU3" s="273"/>
      <c r="AV3" s="272" t="s">
        <v>1602</v>
      </c>
      <c r="AW3" s="273"/>
      <c r="AX3" s="273"/>
      <c r="AY3" s="273"/>
      <c r="AZ3" s="272" t="s">
        <v>1603</v>
      </c>
      <c r="BA3" s="273"/>
      <c r="BB3" s="273"/>
      <c r="BC3" s="273"/>
      <c r="BD3" s="272" t="s">
        <v>1604</v>
      </c>
      <c r="BE3" s="273"/>
      <c r="BF3" s="273"/>
      <c r="BG3" s="273"/>
      <c r="BH3" s="272" t="s">
        <v>1605</v>
      </c>
      <c r="BI3" s="273"/>
      <c r="BJ3" s="273"/>
      <c r="BK3" s="273"/>
      <c r="BL3" s="272" t="s">
        <v>1606</v>
      </c>
      <c r="BM3" s="273"/>
      <c r="BN3" s="273"/>
      <c r="BO3" s="273"/>
      <c r="BP3" s="272" t="s">
        <v>1607</v>
      </c>
      <c r="BQ3" s="273"/>
      <c r="BR3" s="273"/>
      <c r="BS3" s="273"/>
      <c r="BT3" s="272" t="s">
        <v>1608</v>
      </c>
      <c r="BU3" s="273"/>
      <c r="BV3" s="273"/>
      <c r="BW3" s="273"/>
      <c r="BX3" s="272" t="s">
        <v>1609</v>
      </c>
      <c r="BY3" s="273"/>
      <c r="BZ3" s="273"/>
      <c r="CA3" s="273"/>
      <c r="CB3" s="272" t="s">
        <v>1610</v>
      </c>
      <c r="CC3" s="273"/>
      <c r="CD3" s="273"/>
      <c r="CE3" s="274"/>
    </row>
    <row r="4" spans="1:395" s="128" customFormat="1" ht="6" customHeight="1">
      <c r="A4" s="285"/>
      <c r="B4" s="287"/>
      <c r="C4" s="284"/>
      <c r="D4" s="277"/>
      <c r="E4" s="292"/>
      <c r="F4" s="291"/>
      <c r="G4" s="291"/>
      <c r="H4" s="291"/>
      <c r="I4" s="291"/>
      <c r="J4" s="291"/>
      <c r="K4" s="291"/>
      <c r="L4" s="291"/>
      <c r="M4" s="291"/>
      <c r="N4" s="291"/>
      <c r="O4" s="283"/>
      <c r="P4" s="283"/>
      <c r="Q4" s="283"/>
      <c r="R4" s="301"/>
      <c r="S4" s="296"/>
      <c r="T4" s="303"/>
      <c r="U4" s="296"/>
      <c r="V4" s="296"/>
      <c r="W4" s="283"/>
      <c r="X4" s="283"/>
      <c r="Y4" s="305"/>
      <c r="Z4" s="299"/>
      <c r="AA4" s="307"/>
      <c r="AB4" s="283"/>
      <c r="AC4" s="277"/>
      <c r="AD4" s="281"/>
      <c r="AE4" s="279"/>
      <c r="AF4" s="166">
        <v>44199</v>
      </c>
      <c r="AG4" s="167">
        <v>44206</v>
      </c>
      <c r="AH4" s="167">
        <v>44213</v>
      </c>
      <c r="AI4" s="167">
        <v>44220</v>
      </c>
      <c r="AJ4" s="167">
        <v>44227</v>
      </c>
      <c r="AK4" s="167">
        <v>44234</v>
      </c>
      <c r="AL4" s="167">
        <v>44241</v>
      </c>
      <c r="AM4" s="167">
        <v>44248</v>
      </c>
      <c r="AN4" s="167">
        <v>44255</v>
      </c>
      <c r="AO4" s="167">
        <v>44262</v>
      </c>
      <c r="AP4" s="167">
        <v>44269</v>
      </c>
      <c r="AQ4" s="167">
        <v>44276</v>
      </c>
      <c r="AR4" s="167">
        <v>44283</v>
      </c>
      <c r="AS4" s="167">
        <v>44290</v>
      </c>
      <c r="AT4" s="167">
        <v>44297</v>
      </c>
      <c r="AU4" s="167">
        <v>44304</v>
      </c>
      <c r="AV4" s="167">
        <v>44311</v>
      </c>
      <c r="AW4" s="167">
        <v>44318</v>
      </c>
      <c r="AX4" s="167">
        <v>44325</v>
      </c>
      <c r="AY4" s="167">
        <v>44332</v>
      </c>
      <c r="AZ4" s="167">
        <v>44339</v>
      </c>
      <c r="BA4" s="167">
        <v>44346</v>
      </c>
      <c r="BB4" s="167">
        <v>44353</v>
      </c>
      <c r="BC4" s="167">
        <v>44360</v>
      </c>
      <c r="BD4" s="167">
        <v>44367</v>
      </c>
      <c r="BE4" s="167">
        <v>44374</v>
      </c>
      <c r="BF4" s="167">
        <v>44381</v>
      </c>
      <c r="BG4" s="167">
        <v>44388</v>
      </c>
      <c r="BH4" s="167">
        <v>44395</v>
      </c>
      <c r="BI4" s="167">
        <v>44402</v>
      </c>
      <c r="BJ4" s="167">
        <v>44409</v>
      </c>
      <c r="BK4" s="167">
        <v>44416</v>
      </c>
      <c r="BL4" s="167">
        <v>44423</v>
      </c>
      <c r="BM4" s="167">
        <v>44430</v>
      </c>
      <c r="BN4" s="167">
        <v>44437</v>
      </c>
      <c r="BO4" s="167">
        <v>44444</v>
      </c>
      <c r="BP4" s="167">
        <v>44451</v>
      </c>
      <c r="BQ4" s="167">
        <v>44458</v>
      </c>
      <c r="BR4" s="167">
        <v>44465</v>
      </c>
      <c r="BS4" s="167">
        <v>44472</v>
      </c>
      <c r="BT4" s="167">
        <v>44479</v>
      </c>
      <c r="BU4" s="167">
        <v>44486</v>
      </c>
      <c r="BV4" s="167">
        <v>44493</v>
      </c>
      <c r="BW4" s="167">
        <v>44500</v>
      </c>
      <c r="BX4" s="167">
        <v>44507</v>
      </c>
      <c r="BY4" s="167">
        <v>44514</v>
      </c>
      <c r="BZ4" s="167">
        <v>44521</v>
      </c>
      <c r="CA4" s="167">
        <v>44528</v>
      </c>
      <c r="CB4" s="167">
        <v>44535</v>
      </c>
      <c r="CC4" s="167">
        <v>44542</v>
      </c>
      <c r="CD4" s="167">
        <v>44549</v>
      </c>
      <c r="CE4" s="257">
        <v>44556</v>
      </c>
      <c r="CF4" s="168"/>
      <c r="CG4" s="168"/>
      <c r="CH4" s="168"/>
      <c r="CI4" s="168"/>
      <c r="CJ4" s="168"/>
      <c r="CK4" s="168"/>
      <c r="CL4" s="168"/>
      <c r="CM4" s="168"/>
      <c r="CN4" s="168"/>
      <c r="CO4" s="168"/>
      <c r="CP4" s="168"/>
      <c r="CQ4" s="168"/>
      <c r="CR4" s="168"/>
      <c r="CS4" s="168"/>
      <c r="CT4" s="168"/>
      <c r="CU4" s="168"/>
      <c r="CV4" s="168"/>
      <c r="CW4" s="168"/>
      <c r="CX4" s="168"/>
      <c r="CY4" s="168"/>
      <c r="CZ4" s="168"/>
      <c r="DA4" s="168"/>
      <c r="DB4" s="168"/>
      <c r="DC4" s="168"/>
      <c r="DD4" s="168"/>
      <c r="DE4" s="168"/>
      <c r="DF4" s="168"/>
      <c r="DG4" s="168"/>
      <c r="DH4" s="168"/>
      <c r="DI4" s="168"/>
      <c r="DJ4" s="168"/>
      <c r="DK4" s="168"/>
      <c r="DL4" s="168"/>
      <c r="DM4" s="168"/>
      <c r="DN4" s="168"/>
      <c r="DO4" s="168"/>
      <c r="DP4" s="168"/>
      <c r="DQ4" s="168"/>
      <c r="DR4" s="168"/>
      <c r="DS4" s="168"/>
      <c r="DT4" s="168"/>
      <c r="DU4" s="168"/>
      <c r="DV4" s="168"/>
      <c r="DW4" s="168"/>
      <c r="DX4" s="168"/>
      <c r="DY4" s="168"/>
      <c r="DZ4" s="168"/>
      <c r="EA4" s="168"/>
      <c r="EB4" s="168"/>
      <c r="EC4" s="168"/>
      <c r="ED4" s="168"/>
      <c r="EE4" s="168"/>
      <c r="EF4" s="168"/>
      <c r="EG4" s="168"/>
      <c r="EH4" s="168"/>
      <c r="EI4" s="168"/>
      <c r="EJ4" s="168"/>
      <c r="EK4" s="168"/>
      <c r="EL4" s="168"/>
      <c r="EM4" s="168"/>
      <c r="EN4" s="168"/>
      <c r="EO4" s="168"/>
      <c r="EP4" s="168"/>
      <c r="EQ4" s="168"/>
      <c r="ER4" s="168"/>
      <c r="ES4" s="168"/>
      <c r="ET4" s="168"/>
      <c r="EU4" s="168"/>
      <c r="EV4" s="168"/>
      <c r="EW4" s="168"/>
      <c r="EX4" s="168"/>
      <c r="EY4" s="168"/>
      <c r="EZ4" s="168"/>
      <c r="FA4" s="168"/>
      <c r="FB4" s="168"/>
      <c r="FC4" s="168"/>
      <c r="FD4" s="168"/>
      <c r="FE4" s="168"/>
      <c r="FF4" s="168"/>
      <c r="FG4" s="168"/>
      <c r="FH4" s="168"/>
      <c r="FI4" s="168"/>
      <c r="FJ4" s="168"/>
      <c r="FK4" s="168"/>
      <c r="FL4" s="168"/>
      <c r="FM4" s="168"/>
      <c r="FN4" s="168"/>
      <c r="FO4" s="168"/>
      <c r="FP4" s="168"/>
      <c r="FQ4" s="168"/>
      <c r="FR4" s="168"/>
      <c r="FS4" s="168"/>
      <c r="FT4" s="168"/>
      <c r="FU4" s="168"/>
      <c r="FV4" s="168"/>
      <c r="FW4" s="168"/>
      <c r="FX4" s="168"/>
      <c r="FY4" s="168"/>
      <c r="FZ4" s="168"/>
      <c r="GA4" s="168"/>
      <c r="GB4" s="168"/>
      <c r="GC4" s="168"/>
      <c r="GD4" s="168"/>
      <c r="GE4" s="168"/>
      <c r="GF4" s="168"/>
      <c r="GG4" s="168"/>
      <c r="GH4" s="168"/>
      <c r="GI4" s="168"/>
      <c r="GJ4" s="168"/>
      <c r="GK4" s="168"/>
      <c r="GL4" s="168"/>
      <c r="GM4" s="168"/>
      <c r="GN4" s="168"/>
      <c r="GO4" s="168"/>
      <c r="GP4" s="168"/>
      <c r="GQ4" s="168"/>
      <c r="GR4" s="168"/>
      <c r="GS4" s="168"/>
      <c r="GT4" s="168"/>
      <c r="GU4" s="168"/>
      <c r="GV4" s="168"/>
      <c r="GW4" s="168"/>
      <c r="GX4" s="168"/>
      <c r="GY4" s="168"/>
      <c r="GZ4" s="168"/>
      <c r="HA4" s="168"/>
      <c r="HB4" s="168"/>
      <c r="HC4" s="168"/>
      <c r="HD4" s="168"/>
      <c r="HE4" s="168"/>
      <c r="HF4" s="168"/>
      <c r="HG4" s="168"/>
      <c r="HH4" s="168"/>
      <c r="HI4" s="168"/>
      <c r="HJ4" s="168"/>
      <c r="HK4" s="168"/>
      <c r="HL4" s="168"/>
      <c r="HM4" s="168"/>
      <c r="HN4" s="168"/>
      <c r="HO4" s="168"/>
      <c r="HP4" s="168"/>
      <c r="HQ4" s="168"/>
      <c r="HR4" s="168"/>
      <c r="HS4" s="168"/>
      <c r="HT4" s="168"/>
      <c r="HU4" s="168"/>
      <c r="HV4" s="168"/>
      <c r="HW4" s="168"/>
      <c r="HX4" s="168"/>
      <c r="HY4" s="168"/>
      <c r="HZ4" s="168"/>
      <c r="IA4" s="168"/>
      <c r="IB4" s="168"/>
      <c r="IC4" s="168"/>
      <c r="ID4" s="168"/>
      <c r="IE4" s="168"/>
      <c r="IF4" s="168"/>
      <c r="IG4" s="168"/>
      <c r="IH4" s="168"/>
      <c r="II4" s="168"/>
      <c r="IJ4" s="168"/>
      <c r="IK4" s="168"/>
      <c r="IL4" s="168"/>
      <c r="IM4" s="168"/>
      <c r="IN4" s="168"/>
      <c r="IO4" s="168"/>
      <c r="IP4" s="168"/>
      <c r="IQ4" s="168"/>
      <c r="IR4" s="168"/>
      <c r="IS4" s="168"/>
      <c r="IT4" s="168"/>
      <c r="IU4" s="168"/>
      <c r="IV4" s="168"/>
      <c r="IW4" s="168"/>
      <c r="IX4" s="168"/>
      <c r="IY4" s="168"/>
      <c r="IZ4" s="168"/>
      <c r="JA4" s="168"/>
      <c r="JB4" s="168"/>
      <c r="JC4" s="168"/>
      <c r="JD4" s="168"/>
      <c r="JE4" s="168"/>
      <c r="JF4" s="168"/>
      <c r="JG4" s="168"/>
      <c r="JH4" s="168"/>
      <c r="JI4" s="168"/>
      <c r="JJ4" s="168"/>
      <c r="JK4" s="168"/>
      <c r="JL4" s="168"/>
      <c r="JM4" s="168"/>
      <c r="JN4" s="168"/>
      <c r="JO4" s="168"/>
      <c r="JP4" s="168"/>
      <c r="JQ4" s="168"/>
      <c r="JR4" s="168"/>
      <c r="JS4" s="168"/>
      <c r="JT4" s="168"/>
      <c r="JU4" s="168"/>
      <c r="JV4" s="168"/>
      <c r="JW4" s="168"/>
      <c r="JX4" s="168"/>
      <c r="JY4" s="168"/>
      <c r="JZ4" s="168"/>
      <c r="KA4" s="168"/>
      <c r="KB4" s="168"/>
      <c r="KC4" s="168"/>
      <c r="KD4" s="168"/>
      <c r="KE4" s="168"/>
      <c r="KF4" s="168"/>
      <c r="KG4" s="168"/>
      <c r="KH4" s="168"/>
      <c r="KI4" s="168"/>
      <c r="KJ4" s="168"/>
      <c r="KK4" s="168"/>
      <c r="KL4" s="168"/>
      <c r="KM4" s="168"/>
      <c r="KN4" s="168"/>
      <c r="KO4" s="168"/>
      <c r="KP4" s="168"/>
      <c r="KQ4" s="168"/>
      <c r="KR4" s="168"/>
      <c r="KS4" s="168"/>
      <c r="KT4" s="168"/>
      <c r="KU4" s="168"/>
      <c r="KV4" s="168"/>
      <c r="KW4" s="168"/>
      <c r="KX4" s="168"/>
      <c r="KY4" s="168"/>
      <c r="KZ4" s="168"/>
      <c r="LA4" s="168"/>
      <c r="LB4" s="168"/>
      <c r="LC4" s="168"/>
      <c r="LD4" s="168"/>
      <c r="LE4" s="168"/>
      <c r="LF4" s="168"/>
      <c r="LG4" s="168"/>
      <c r="LH4" s="168"/>
      <c r="LI4" s="168"/>
      <c r="LJ4" s="168"/>
      <c r="LK4" s="168"/>
      <c r="LL4" s="168"/>
      <c r="LM4" s="168"/>
      <c r="LN4" s="168"/>
      <c r="LO4" s="168"/>
      <c r="LP4" s="168"/>
      <c r="LQ4" s="168"/>
      <c r="LR4" s="168"/>
      <c r="LS4" s="168"/>
      <c r="LT4" s="168"/>
      <c r="LU4" s="168"/>
      <c r="LV4" s="168"/>
      <c r="LW4" s="168"/>
      <c r="LX4" s="168"/>
      <c r="LY4" s="168"/>
      <c r="LZ4" s="168"/>
      <c r="MA4" s="168"/>
      <c r="MB4" s="168"/>
      <c r="MC4" s="168"/>
      <c r="MD4" s="168"/>
      <c r="ME4" s="168"/>
      <c r="MF4" s="168"/>
      <c r="MG4" s="168"/>
      <c r="MH4" s="168"/>
      <c r="MI4" s="168"/>
      <c r="MJ4" s="168"/>
      <c r="MK4" s="168"/>
      <c r="ML4" s="168"/>
      <c r="MM4" s="168"/>
      <c r="MN4" s="168"/>
      <c r="MO4" s="168"/>
      <c r="MP4" s="168"/>
      <c r="MQ4" s="168"/>
      <c r="MR4" s="168"/>
      <c r="MS4" s="168"/>
      <c r="MT4" s="168"/>
      <c r="MU4" s="168"/>
      <c r="MV4" s="168"/>
      <c r="MW4" s="168"/>
      <c r="MX4" s="168"/>
      <c r="MY4" s="168"/>
      <c r="MZ4" s="168"/>
      <c r="NA4" s="168"/>
      <c r="NB4" s="168"/>
      <c r="NC4" s="168"/>
      <c r="ND4" s="168"/>
      <c r="NE4" s="168"/>
      <c r="NF4" s="168"/>
      <c r="NG4" s="168"/>
      <c r="NH4" s="168"/>
      <c r="NI4" s="168"/>
      <c r="NJ4" s="168"/>
      <c r="NK4" s="168"/>
      <c r="NL4" s="168"/>
      <c r="NM4" s="168"/>
      <c r="NN4" s="168"/>
      <c r="NO4" s="168"/>
      <c r="NP4" s="168"/>
      <c r="NQ4" s="168"/>
      <c r="NR4" s="168"/>
      <c r="NS4" s="168"/>
      <c r="NT4" s="168"/>
      <c r="NU4" s="168"/>
      <c r="NV4" s="168"/>
      <c r="NW4" s="168"/>
      <c r="NX4" s="168"/>
      <c r="NY4" s="168"/>
      <c r="NZ4" s="168"/>
      <c r="OA4" s="168"/>
      <c r="OB4" s="168"/>
      <c r="OC4" s="168"/>
      <c r="OD4" s="168"/>
      <c r="OE4" s="168"/>
    </row>
    <row r="5" spans="1:395" ht="12" customHeight="1">
      <c r="A5" s="129"/>
      <c r="B5" s="129" t="s">
        <v>1345</v>
      </c>
      <c r="C5" s="129">
        <v>1</v>
      </c>
      <c r="D5" s="130" t="s">
        <v>1010</v>
      </c>
      <c r="E5" s="131" t="s">
        <v>1654</v>
      </c>
      <c r="F5" s="131"/>
      <c r="G5" s="131"/>
      <c r="H5" s="131"/>
      <c r="I5" s="131"/>
      <c r="J5" s="131"/>
      <c r="K5" s="131"/>
      <c r="L5" s="131"/>
      <c r="M5" s="131"/>
      <c r="N5" s="131"/>
      <c r="O5" s="131"/>
      <c r="P5" s="132">
        <v>44200</v>
      </c>
      <c r="Q5" s="132">
        <v>44561</v>
      </c>
      <c r="R5" s="133"/>
      <c r="S5" s="134">
        <v>1392</v>
      </c>
      <c r="T5" s="134">
        <v>84</v>
      </c>
      <c r="U5" s="134">
        <v>252</v>
      </c>
      <c r="V5" s="134">
        <v>26</v>
      </c>
      <c r="W5" s="132"/>
      <c r="X5" s="132"/>
      <c r="Y5" s="135">
        <v>0</v>
      </c>
      <c r="Z5" s="136">
        <v>0</v>
      </c>
      <c r="AA5" s="134"/>
      <c r="AB5" s="133" t="s">
        <v>1391</v>
      </c>
      <c r="AC5" s="137"/>
      <c r="AD5" s="138">
        <v>6.0344827586206899E-2</v>
      </c>
      <c r="AE5" s="194">
        <v>0</v>
      </c>
      <c r="AF5" s="139" t="str">
        <f>" " &amp; TEXT(AE5,"#0.00%") &amp; " "</f>
        <v xml:space="preserve"> 0.00% </v>
      </c>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t="str">
        <f>"      " &amp; "DIFS" &amp; "(신용윤,박세형)" &amp; " " &amp; IF(P5="","",TEXT(P5,"M/D-")) &amp; IF(Q5="","",TEXT(Q5,"M/D")) &amp; " "</f>
        <v xml:space="preserve">      DIFS(신용윤,박세형) 1/4-12/31 </v>
      </c>
      <c r="CF5" s="140"/>
    </row>
    <row r="6" spans="1:395" ht="12" customHeight="1" outlineLevel="1">
      <c r="A6" s="129"/>
      <c r="B6" s="129" t="s">
        <v>1345</v>
      </c>
      <c r="C6" s="129">
        <v>2</v>
      </c>
      <c r="D6" s="130" t="s">
        <v>1066</v>
      </c>
      <c r="E6" s="131"/>
      <c r="F6" s="131" t="s">
        <v>1406</v>
      </c>
      <c r="G6" s="131"/>
      <c r="H6" s="131"/>
      <c r="I6" s="131"/>
      <c r="J6" s="131"/>
      <c r="K6" s="131"/>
      <c r="L6" s="131"/>
      <c r="M6" s="131"/>
      <c r="N6" s="131"/>
      <c r="O6" s="131"/>
      <c r="P6" s="132">
        <v>44200</v>
      </c>
      <c r="Q6" s="132">
        <v>44561</v>
      </c>
      <c r="R6" s="133"/>
      <c r="S6" s="134">
        <v>911</v>
      </c>
      <c r="T6" s="134">
        <v>58</v>
      </c>
      <c r="U6" s="134">
        <v>252</v>
      </c>
      <c r="V6" s="134">
        <v>26</v>
      </c>
      <c r="W6" s="132"/>
      <c r="X6" s="132"/>
      <c r="Y6" s="135">
        <v>0</v>
      </c>
      <c r="Z6" s="136">
        <v>0</v>
      </c>
      <c r="AA6" s="134"/>
      <c r="AB6" s="133"/>
      <c r="AC6" s="137"/>
      <c r="AD6" s="138">
        <v>6.3666300768386391E-2</v>
      </c>
      <c r="AE6" s="194">
        <v>0</v>
      </c>
      <c r="AF6" s="139" t="str">
        <f>" " &amp; TEXT(AE6,"#0.00%") &amp; " "</f>
        <v xml:space="preserve"> 0.00% </v>
      </c>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t="str">
        <f>"      " &amp; "기능개선 (프레임워크 core enabler 고도화)" &amp; " " &amp; IF(P6="","",TEXT(P6,"M/D-")) &amp; IF(Q6="","",TEXT(Q6,"M/D")) &amp; " "</f>
        <v xml:space="preserve">      기능개선 (프레임워크 core enabler 고도화) 1/4-12/31 </v>
      </c>
      <c r="CF6" s="140"/>
    </row>
    <row r="7" spans="1:395" ht="12" customHeight="1" outlineLevel="2">
      <c r="A7" s="129"/>
      <c r="B7" s="129" t="s">
        <v>1345</v>
      </c>
      <c r="C7" s="129">
        <v>3</v>
      </c>
      <c r="D7" s="130" t="s">
        <v>1067</v>
      </c>
      <c r="E7" s="131"/>
      <c r="F7" s="131"/>
      <c r="G7" s="131" t="s">
        <v>1500</v>
      </c>
      <c r="H7" s="131"/>
      <c r="I7" s="131"/>
      <c r="J7" s="131"/>
      <c r="K7" s="131"/>
      <c r="L7" s="131"/>
      <c r="M7" s="131"/>
      <c r="N7" s="131"/>
      <c r="O7" s="131"/>
      <c r="P7" s="132">
        <v>44228</v>
      </c>
      <c r="Q7" s="132">
        <v>44407</v>
      </c>
      <c r="R7" s="133"/>
      <c r="S7" s="134">
        <v>125</v>
      </c>
      <c r="T7" s="134">
        <v>6</v>
      </c>
      <c r="U7" s="134">
        <v>125</v>
      </c>
      <c r="V7" s="134">
        <v>6</v>
      </c>
      <c r="W7" s="132"/>
      <c r="X7" s="132"/>
      <c r="Y7" s="135">
        <v>0</v>
      </c>
      <c r="Z7" s="136">
        <v>0</v>
      </c>
      <c r="AA7" s="134"/>
      <c r="AB7" s="133" t="s">
        <v>1405</v>
      </c>
      <c r="AC7" s="137"/>
      <c r="AD7" s="138">
        <v>4.8000000000000001E-2</v>
      </c>
      <c r="AE7" s="194">
        <v>0</v>
      </c>
      <c r="AF7" s="139"/>
      <c r="AG7" s="140"/>
      <c r="AH7" s="140"/>
      <c r="AI7" s="140"/>
      <c r="AJ7" s="140" t="str">
        <f>" " &amp; TEXT(AE7,"#0.00%") &amp; " "</f>
        <v xml:space="preserve"> 0.00% </v>
      </c>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t="str">
        <f>"      " &amp; "HashChain 고도화" &amp; "(박세형)" &amp; " " &amp; IF(P7="","",TEXT(P7,"M/D-")) &amp; IF(Q7="","",TEXT(Q7,"M/D")) &amp; " "</f>
        <v xml:space="preserve">      HashChain 고도화(박세형) 2/1-7/30 </v>
      </c>
      <c r="BJ7" s="140"/>
      <c r="BK7" s="140"/>
      <c r="BL7" s="140"/>
      <c r="BM7" s="140"/>
      <c r="BN7" s="140"/>
      <c r="BO7" s="140"/>
      <c r="BP7" s="140"/>
      <c r="BQ7" s="140"/>
      <c r="BR7" s="140"/>
      <c r="BS7" s="140"/>
      <c r="BT7" s="140"/>
      <c r="BU7" s="140"/>
      <c r="BV7" s="140"/>
      <c r="BW7" s="140"/>
      <c r="BX7" s="140"/>
      <c r="BY7" s="140"/>
      <c r="BZ7" s="140"/>
      <c r="CA7" s="140"/>
      <c r="CB7" s="140"/>
      <c r="CC7" s="140"/>
      <c r="CD7" s="140"/>
      <c r="CE7" s="140"/>
      <c r="CF7" s="140"/>
    </row>
    <row r="8" spans="1:395" ht="12" customHeight="1" outlineLevel="3">
      <c r="A8" s="129"/>
      <c r="B8" s="129" t="s">
        <v>1345</v>
      </c>
      <c r="C8" s="129">
        <v>4</v>
      </c>
      <c r="D8" s="130" t="s">
        <v>1402</v>
      </c>
      <c r="E8" s="131"/>
      <c r="F8" s="131"/>
      <c r="G8" s="131"/>
      <c r="H8" s="131" t="s">
        <v>1392</v>
      </c>
      <c r="I8" s="131"/>
      <c r="J8" s="131"/>
      <c r="K8" s="131"/>
      <c r="L8" s="131"/>
      <c r="M8" s="131"/>
      <c r="N8" s="131"/>
      <c r="O8" s="131"/>
      <c r="P8" s="132">
        <v>44228</v>
      </c>
      <c r="Q8" s="132">
        <v>44281</v>
      </c>
      <c r="R8" s="133"/>
      <c r="S8" s="134">
        <v>37</v>
      </c>
      <c r="T8" s="134">
        <v>6</v>
      </c>
      <c r="U8" s="134">
        <v>37</v>
      </c>
      <c r="V8" s="134">
        <v>6</v>
      </c>
      <c r="W8" s="132"/>
      <c r="X8" s="132"/>
      <c r="Y8" s="135">
        <v>0</v>
      </c>
      <c r="Z8" s="136">
        <v>0</v>
      </c>
      <c r="AA8" s="134"/>
      <c r="AB8" s="133" t="s">
        <v>1405</v>
      </c>
      <c r="AC8" s="137"/>
      <c r="AD8" s="138">
        <v>0.16216216216216217</v>
      </c>
      <c r="AE8" s="194">
        <v>0</v>
      </c>
      <c r="AF8" s="139"/>
      <c r="AG8" s="140"/>
      <c r="AH8" s="140"/>
      <c r="AI8" s="140"/>
      <c r="AJ8" s="140" t="str">
        <f>" " &amp; TEXT(AE8,"#0.00%") &amp; " "</f>
        <v xml:space="preserve"> 0.00% </v>
      </c>
      <c r="AK8" s="140"/>
      <c r="AL8" s="140"/>
      <c r="AM8" s="140"/>
      <c r="AN8" s="140"/>
      <c r="AO8" s="140"/>
      <c r="AP8" s="140"/>
      <c r="AQ8" s="140" t="str">
        <f>"      " &amp; "기능 정의 및 설계" &amp; "(박세형)" &amp; " " &amp; IF(P8="","",TEXT(P8,"M/D-")) &amp; IF(Q8="","",TEXT(Q8,"M/D")) &amp; " "</f>
        <v xml:space="preserve">      기능 정의 및 설계(박세형) 2/1-3/26 </v>
      </c>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row>
    <row r="9" spans="1:395" ht="12" customHeight="1" outlineLevel="4">
      <c r="A9" s="129"/>
      <c r="B9" s="129"/>
      <c r="C9" s="129">
        <v>5</v>
      </c>
      <c r="D9" s="130" t="s">
        <v>1655</v>
      </c>
      <c r="E9" s="131"/>
      <c r="F9" s="131"/>
      <c r="G9" s="131"/>
      <c r="H9" s="131"/>
      <c r="I9" s="131" t="s">
        <v>1501</v>
      </c>
      <c r="J9" s="131"/>
      <c r="K9" s="131"/>
      <c r="L9" s="131"/>
      <c r="M9" s="131"/>
      <c r="N9" s="131"/>
      <c r="O9" s="131"/>
      <c r="P9" s="132">
        <v>44228</v>
      </c>
      <c r="Q9" s="132">
        <v>44239</v>
      </c>
      <c r="R9" s="133"/>
      <c r="S9" s="134">
        <v>8</v>
      </c>
      <c r="T9" s="134">
        <v>6</v>
      </c>
      <c r="U9" s="134">
        <v>8</v>
      </c>
      <c r="V9" s="134">
        <v>6</v>
      </c>
      <c r="W9" s="132"/>
      <c r="X9" s="132"/>
      <c r="Y9" s="135"/>
      <c r="Z9" s="136">
        <v>0</v>
      </c>
      <c r="AA9" s="134"/>
      <c r="AB9" s="133"/>
      <c r="AC9" s="137"/>
      <c r="AD9" s="138">
        <v>0.75</v>
      </c>
      <c r="AE9" s="193">
        <v>0</v>
      </c>
      <c r="AF9" s="139"/>
      <c r="AG9" s="140"/>
      <c r="AH9" s="140"/>
      <c r="AI9" s="140"/>
      <c r="AJ9" s="140" t="str">
        <f>" " &amp; TEXT(AE9,"#0.00%") &amp; " " &amp; "20' 모델 분석" &amp; " " &amp; IF(P9="","",TEXT(P9,"M/D-")) &amp; IF(Q9="","",TEXT(Q9,"M/D")) &amp; " "</f>
        <v xml:space="preserve"> 0.00% 20' 모델 분석 2/1-2/12 </v>
      </c>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row>
    <row r="10" spans="1:395" ht="12" customHeight="1" outlineLevel="4">
      <c r="A10" s="129"/>
      <c r="B10" s="129"/>
      <c r="C10" s="129">
        <v>5</v>
      </c>
      <c r="D10" s="130" t="s">
        <v>1656</v>
      </c>
      <c r="E10" s="131"/>
      <c r="F10" s="131"/>
      <c r="G10" s="131"/>
      <c r="H10" s="131"/>
      <c r="I10" s="131" t="s">
        <v>1502</v>
      </c>
      <c r="J10" s="131"/>
      <c r="K10" s="131"/>
      <c r="L10" s="131"/>
      <c r="M10" s="131"/>
      <c r="N10" s="131"/>
      <c r="O10" s="131"/>
      <c r="P10" s="132">
        <v>44242</v>
      </c>
      <c r="Q10" s="132">
        <v>44253</v>
      </c>
      <c r="R10" s="133"/>
      <c r="S10" s="134">
        <v>10</v>
      </c>
      <c r="T10" s="134">
        <v>0</v>
      </c>
      <c r="U10" s="134">
        <v>10</v>
      </c>
      <c r="V10" s="134">
        <v>0</v>
      </c>
      <c r="W10" s="132"/>
      <c r="X10" s="132"/>
      <c r="Y10" s="135"/>
      <c r="Z10" s="136">
        <v>0</v>
      </c>
      <c r="AA10" s="134"/>
      <c r="AB10" s="133"/>
      <c r="AC10" s="137"/>
      <c r="AD10" s="138">
        <v>0</v>
      </c>
      <c r="AE10" s="165">
        <v>0</v>
      </c>
      <c r="AF10" s="139"/>
      <c r="AG10" s="140"/>
      <c r="AH10" s="140"/>
      <c r="AI10" s="140"/>
      <c r="AJ10" s="140"/>
      <c r="AK10" s="140"/>
      <c r="AL10" s="140" t="str">
        <f>" " &amp; TEXT(AE10,"#0.00%") &amp; " " &amp; "ndn-cxx 모델 분석" &amp; " " &amp; IF(P10="","",TEXT(P10,"M/D-")) &amp; IF(Q10="","",TEXT(Q10,"M/D")) &amp; " "</f>
        <v xml:space="preserve"> 0.00% ndn-cxx 모델 분석 2/15-2/26 </v>
      </c>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row>
    <row r="11" spans="1:395" ht="12" customHeight="1" outlineLevel="4">
      <c r="A11" s="129"/>
      <c r="B11" s="129"/>
      <c r="C11" s="129">
        <v>5</v>
      </c>
      <c r="D11" s="130" t="s">
        <v>1657</v>
      </c>
      <c r="E11" s="131"/>
      <c r="F11" s="131"/>
      <c r="G11" s="131"/>
      <c r="H11" s="131"/>
      <c r="I11" s="131" t="s">
        <v>1506</v>
      </c>
      <c r="J11" s="131"/>
      <c r="K11" s="131"/>
      <c r="L11" s="131"/>
      <c r="M11" s="131"/>
      <c r="N11" s="131"/>
      <c r="O11" s="131"/>
      <c r="P11" s="132">
        <v>44256</v>
      </c>
      <c r="Q11" s="132">
        <v>44267</v>
      </c>
      <c r="R11" s="133"/>
      <c r="S11" s="134">
        <v>9</v>
      </c>
      <c r="T11" s="134">
        <v>0</v>
      </c>
      <c r="U11" s="134">
        <v>9</v>
      </c>
      <c r="V11" s="134">
        <v>0</v>
      </c>
      <c r="W11" s="132"/>
      <c r="X11" s="132"/>
      <c r="Y11" s="135"/>
      <c r="Z11" s="136">
        <v>0</v>
      </c>
      <c r="AA11" s="134"/>
      <c r="AB11" s="133"/>
      <c r="AC11" s="137"/>
      <c r="AD11" s="138">
        <v>0</v>
      </c>
      <c r="AE11" s="165">
        <v>0</v>
      </c>
      <c r="AF11" s="139"/>
      <c r="AG11" s="140"/>
      <c r="AH11" s="140"/>
      <c r="AI11" s="140"/>
      <c r="AJ11" s="140"/>
      <c r="AK11" s="140"/>
      <c r="AL11" s="140"/>
      <c r="AM11" s="140"/>
      <c r="AN11" s="140" t="str">
        <f>" " &amp; TEXT(AE11,"#0.00%") &amp; " " &amp; "21' HashChain 설계 1" &amp; " " &amp; IF(P11="","",TEXT(P11,"M/D-")) &amp; IF(Q11="","",TEXT(Q11,"M/D")) &amp; " "</f>
        <v xml:space="preserve"> 0.00% 21' HashChain 설계 1 3/1-3/12 </v>
      </c>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row>
    <row r="12" spans="1:395" ht="12" customHeight="1" outlineLevel="4">
      <c r="A12" s="129"/>
      <c r="B12" s="129"/>
      <c r="C12" s="129">
        <v>5</v>
      </c>
      <c r="D12" s="130" t="s">
        <v>1658</v>
      </c>
      <c r="E12" s="131"/>
      <c r="F12" s="131"/>
      <c r="G12" s="131"/>
      <c r="H12" s="131"/>
      <c r="I12" s="131" t="s">
        <v>1507</v>
      </c>
      <c r="J12" s="131"/>
      <c r="K12" s="131"/>
      <c r="L12" s="131"/>
      <c r="M12" s="131"/>
      <c r="N12" s="131"/>
      <c r="O12" s="131"/>
      <c r="P12" s="132">
        <v>44270</v>
      </c>
      <c r="Q12" s="132">
        <v>44281</v>
      </c>
      <c r="R12" s="133"/>
      <c r="S12" s="134">
        <v>10</v>
      </c>
      <c r="T12" s="134">
        <v>0</v>
      </c>
      <c r="U12" s="134">
        <v>10</v>
      </c>
      <c r="V12" s="134">
        <v>0</v>
      </c>
      <c r="W12" s="132"/>
      <c r="X12" s="132"/>
      <c r="Y12" s="135"/>
      <c r="Z12" s="136">
        <v>0</v>
      </c>
      <c r="AA12" s="134"/>
      <c r="AB12" s="133"/>
      <c r="AC12" s="137"/>
      <c r="AD12" s="138">
        <v>0</v>
      </c>
      <c r="AE12" s="165">
        <v>0</v>
      </c>
      <c r="AF12" s="139"/>
      <c r="AG12" s="140"/>
      <c r="AH12" s="140"/>
      <c r="AI12" s="140"/>
      <c r="AJ12" s="140"/>
      <c r="AK12" s="140"/>
      <c r="AL12" s="140"/>
      <c r="AM12" s="140"/>
      <c r="AN12" s="140"/>
      <c r="AO12" s="140"/>
      <c r="AP12" s="140" t="str">
        <f>" " &amp; TEXT(AE12,"#0.00%") &amp; " " &amp; "21' HashChain 설계 2" &amp; " " &amp; IF(P12="","",TEXT(P12,"M/D-")) &amp; IF(Q12="","",TEXT(Q12,"M/D")) &amp; " "</f>
        <v xml:space="preserve"> 0.00% 21' HashChain 설계 2 3/15-3/26 </v>
      </c>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row>
    <row r="13" spans="1:395" ht="12" customHeight="1" outlineLevel="3">
      <c r="A13" s="129"/>
      <c r="B13" s="129" t="s">
        <v>1345</v>
      </c>
      <c r="C13" s="129">
        <v>4</v>
      </c>
      <c r="D13" s="130" t="s">
        <v>1503</v>
      </c>
      <c r="E13" s="131"/>
      <c r="F13" s="131"/>
      <c r="G13" s="131"/>
      <c r="H13" s="131" t="s">
        <v>1403</v>
      </c>
      <c r="I13" s="131"/>
      <c r="J13" s="131"/>
      <c r="K13" s="131"/>
      <c r="L13" s="131"/>
      <c r="M13" s="131"/>
      <c r="N13" s="131"/>
      <c r="O13" s="131"/>
      <c r="P13" s="132">
        <v>44284</v>
      </c>
      <c r="Q13" s="132">
        <v>44379</v>
      </c>
      <c r="R13" s="133"/>
      <c r="S13" s="134">
        <v>68</v>
      </c>
      <c r="T13" s="134">
        <v>0</v>
      </c>
      <c r="U13" s="134">
        <v>68</v>
      </c>
      <c r="V13" s="134">
        <v>0</v>
      </c>
      <c r="W13" s="132"/>
      <c r="X13" s="132"/>
      <c r="Y13" s="135">
        <v>0</v>
      </c>
      <c r="Z13" s="136">
        <v>0</v>
      </c>
      <c r="AA13" s="134"/>
      <c r="AB13" s="133" t="s">
        <v>1405</v>
      </c>
      <c r="AC13" s="137"/>
      <c r="AD13" s="138">
        <v>0</v>
      </c>
      <c r="AE13" s="192">
        <v>0</v>
      </c>
      <c r="AF13" s="139"/>
      <c r="AG13" s="140"/>
      <c r="AH13" s="140"/>
      <c r="AI13" s="140"/>
      <c r="AJ13" s="140"/>
      <c r="AK13" s="140"/>
      <c r="AL13" s="140"/>
      <c r="AM13" s="140"/>
      <c r="AN13" s="140"/>
      <c r="AO13" s="140"/>
      <c r="AP13" s="140"/>
      <c r="AQ13" s="140"/>
      <c r="AR13" s="140" t="str">
        <f>" " &amp; TEXT(AE13,"#0.00%") &amp; " "</f>
        <v xml:space="preserve"> 0.00% </v>
      </c>
      <c r="AS13" s="140"/>
      <c r="AT13" s="140"/>
      <c r="AU13" s="140"/>
      <c r="AV13" s="140"/>
      <c r="AW13" s="140"/>
      <c r="AX13" s="140"/>
      <c r="AY13" s="140"/>
      <c r="AZ13" s="140"/>
      <c r="BA13" s="140"/>
      <c r="BB13" s="140"/>
      <c r="BC13" s="140"/>
      <c r="BD13" s="140"/>
      <c r="BE13" s="140" t="str">
        <f>"      " &amp; "기능 구현" &amp; "(박세형)" &amp; " " &amp; IF(P13="","",TEXT(P13,"M/D-")) &amp; IF(Q13="","",TEXT(Q13,"M/D")) &amp; " "</f>
        <v xml:space="preserve">      기능 구현(박세형) 3/29-7/2 </v>
      </c>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row>
    <row r="14" spans="1:395" ht="12" customHeight="1" outlineLevel="4">
      <c r="A14" s="129"/>
      <c r="B14" s="129"/>
      <c r="C14" s="129">
        <v>5</v>
      </c>
      <c r="D14" s="130" t="s">
        <v>1659</v>
      </c>
      <c r="E14" s="131"/>
      <c r="F14" s="131"/>
      <c r="G14" s="131"/>
      <c r="H14" s="131"/>
      <c r="I14" s="131" t="s">
        <v>1508</v>
      </c>
      <c r="J14" s="131"/>
      <c r="K14" s="131"/>
      <c r="L14" s="131"/>
      <c r="M14" s="131"/>
      <c r="N14" s="131"/>
      <c r="O14" s="131"/>
      <c r="P14" s="132">
        <v>44284</v>
      </c>
      <c r="Q14" s="132">
        <v>44295</v>
      </c>
      <c r="R14" s="133"/>
      <c r="S14" s="134">
        <v>10</v>
      </c>
      <c r="T14" s="134">
        <v>0</v>
      </c>
      <c r="U14" s="134">
        <v>10</v>
      </c>
      <c r="V14" s="134">
        <v>0</v>
      </c>
      <c r="W14" s="132"/>
      <c r="X14" s="132"/>
      <c r="Y14" s="135"/>
      <c r="Z14" s="136">
        <v>0</v>
      </c>
      <c r="AA14" s="134"/>
      <c r="AB14" s="133"/>
      <c r="AC14" s="137"/>
      <c r="AD14" s="138">
        <v>0</v>
      </c>
      <c r="AE14" s="165">
        <v>0</v>
      </c>
      <c r="AF14" s="139"/>
      <c r="AG14" s="140"/>
      <c r="AH14" s="140"/>
      <c r="AI14" s="140"/>
      <c r="AJ14" s="140"/>
      <c r="AK14" s="140"/>
      <c r="AL14" s="140"/>
      <c r="AM14" s="140"/>
      <c r="AN14" s="140"/>
      <c r="AO14" s="140"/>
      <c r="AP14" s="140"/>
      <c r="AQ14" s="140"/>
      <c r="AR14" s="140" t="str">
        <f>" " &amp; TEXT(AE14,"#0.00%") &amp; " " &amp; "ndn-cxx 라이브러리 수정 1" &amp; " " &amp; IF(P14="","",TEXT(P14,"M/D-")) &amp; IF(Q14="","",TEXT(Q14,"M/D")) &amp; " "</f>
        <v xml:space="preserve"> 0.00% ndn-cxx 라이브러리 수정 1 3/29-4/9 </v>
      </c>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row>
    <row r="15" spans="1:395" ht="12" customHeight="1" outlineLevel="4">
      <c r="A15" s="129"/>
      <c r="B15" s="129"/>
      <c r="C15" s="129">
        <v>5</v>
      </c>
      <c r="D15" s="130" t="s">
        <v>1660</v>
      </c>
      <c r="E15" s="131"/>
      <c r="F15" s="131"/>
      <c r="G15" s="131"/>
      <c r="H15" s="131"/>
      <c r="I15" s="131" t="s">
        <v>1509</v>
      </c>
      <c r="J15" s="131"/>
      <c r="K15" s="131"/>
      <c r="L15" s="131"/>
      <c r="M15" s="131"/>
      <c r="N15" s="131"/>
      <c r="O15" s="131"/>
      <c r="P15" s="132">
        <v>44298</v>
      </c>
      <c r="Q15" s="132">
        <v>44309</v>
      </c>
      <c r="R15" s="133"/>
      <c r="S15" s="134">
        <v>10</v>
      </c>
      <c r="T15" s="134">
        <v>0</v>
      </c>
      <c r="U15" s="134">
        <v>10</v>
      </c>
      <c r="V15" s="134">
        <v>0</v>
      </c>
      <c r="W15" s="132"/>
      <c r="X15" s="132"/>
      <c r="Y15" s="135"/>
      <c r="Z15" s="136">
        <v>0</v>
      </c>
      <c r="AA15" s="134"/>
      <c r="AB15" s="133"/>
      <c r="AC15" s="137"/>
      <c r="AD15" s="138">
        <v>0</v>
      </c>
      <c r="AE15" s="165">
        <v>0</v>
      </c>
      <c r="AF15" s="139"/>
      <c r="AG15" s="140"/>
      <c r="AH15" s="140"/>
      <c r="AI15" s="140"/>
      <c r="AJ15" s="140"/>
      <c r="AK15" s="140"/>
      <c r="AL15" s="140"/>
      <c r="AM15" s="140"/>
      <c r="AN15" s="140"/>
      <c r="AO15" s="140"/>
      <c r="AP15" s="140"/>
      <c r="AQ15" s="140"/>
      <c r="AR15" s="140"/>
      <c r="AS15" s="140"/>
      <c r="AT15" s="140" t="str">
        <f>" " &amp; TEXT(AE15,"#0.00%") &amp; " " &amp; "ndn-cxx 라이브러리 수정 2" &amp; " " &amp; IF(P15="","",TEXT(P15,"M/D-")) &amp; IF(Q15="","",TEXT(Q15,"M/D")) &amp; " "</f>
        <v xml:space="preserve"> 0.00% ndn-cxx 라이브러리 수정 2 4/12-4/23 </v>
      </c>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row>
    <row r="16" spans="1:395" ht="12" customHeight="1" outlineLevel="4">
      <c r="A16" s="129"/>
      <c r="B16" s="129"/>
      <c r="C16" s="129">
        <v>5</v>
      </c>
      <c r="D16" s="130" t="s">
        <v>1661</v>
      </c>
      <c r="E16" s="131"/>
      <c r="F16" s="131"/>
      <c r="G16" s="131"/>
      <c r="H16" s="131"/>
      <c r="I16" s="131" t="s">
        <v>1510</v>
      </c>
      <c r="J16" s="131"/>
      <c r="K16" s="131"/>
      <c r="L16" s="131"/>
      <c r="M16" s="131"/>
      <c r="N16" s="131"/>
      <c r="O16" s="131"/>
      <c r="P16" s="132">
        <v>44312</v>
      </c>
      <c r="Q16" s="132">
        <v>44323</v>
      </c>
      <c r="R16" s="133"/>
      <c r="S16" s="134">
        <v>9</v>
      </c>
      <c r="T16" s="134">
        <v>0</v>
      </c>
      <c r="U16" s="134">
        <v>9</v>
      </c>
      <c r="V16" s="134">
        <v>0</v>
      </c>
      <c r="W16" s="132"/>
      <c r="X16" s="132"/>
      <c r="Y16" s="135"/>
      <c r="Z16" s="136">
        <v>0</v>
      </c>
      <c r="AA16" s="134"/>
      <c r="AB16" s="133"/>
      <c r="AC16" s="137"/>
      <c r="AD16" s="138">
        <v>0</v>
      </c>
      <c r="AE16" s="165">
        <v>0</v>
      </c>
      <c r="AF16" s="139"/>
      <c r="AG16" s="140"/>
      <c r="AH16" s="140"/>
      <c r="AI16" s="140"/>
      <c r="AJ16" s="140"/>
      <c r="AK16" s="140"/>
      <c r="AL16" s="140"/>
      <c r="AM16" s="140"/>
      <c r="AN16" s="140"/>
      <c r="AO16" s="140"/>
      <c r="AP16" s="140"/>
      <c r="AQ16" s="140"/>
      <c r="AR16" s="140"/>
      <c r="AS16" s="140"/>
      <c r="AT16" s="140"/>
      <c r="AU16" s="140"/>
      <c r="AV16" s="140" t="str">
        <f>" " &amp; TEXT(AE16,"#0.00%") &amp; " " &amp; "ndn-cxx 라이브러리 수정 3" &amp; " " &amp; IF(P16="","",TEXT(P16,"M/D-")) &amp; IF(Q16="","",TEXT(Q16,"M/D")) &amp; " "</f>
        <v xml:space="preserve"> 0.00% ndn-cxx 라이브러리 수정 3 4/26-5/7 </v>
      </c>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row>
    <row r="17" spans="1:84" ht="12" customHeight="1" outlineLevel="4">
      <c r="A17" s="129"/>
      <c r="B17" s="129"/>
      <c r="C17" s="129">
        <v>5</v>
      </c>
      <c r="D17" s="130" t="s">
        <v>1662</v>
      </c>
      <c r="E17" s="131"/>
      <c r="F17" s="131"/>
      <c r="G17" s="131"/>
      <c r="H17" s="131"/>
      <c r="I17" s="131" t="s">
        <v>1511</v>
      </c>
      <c r="J17" s="131"/>
      <c r="K17" s="131"/>
      <c r="L17" s="131"/>
      <c r="M17" s="131"/>
      <c r="N17" s="131"/>
      <c r="O17" s="131"/>
      <c r="P17" s="132">
        <v>44326</v>
      </c>
      <c r="Q17" s="132">
        <v>44337</v>
      </c>
      <c r="R17" s="133"/>
      <c r="S17" s="134">
        <v>9</v>
      </c>
      <c r="T17" s="134">
        <v>0</v>
      </c>
      <c r="U17" s="134">
        <v>9</v>
      </c>
      <c r="V17" s="134">
        <v>0</v>
      </c>
      <c r="W17" s="132"/>
      <c r="X17" s="132"/>
      <c r="Y17" s="135"/>
      <c r="Z17" s="136">
        <v>0</v>
      </c>
      <c r="AA17" s="134"/>
      <c r="AB17" s="133"/>
      <c r="AC17" s="137"/>
      <c r="AD17" s="138">
        <v>0</v>
      </c>
      <c r="AE17" s="165">
        <v>0</v>
      </c>
      <c r="AF17" s="139"/>
      <c r="AG17" s="140"/>
      <c r="AH17" s="140"/>
      <c r="AI17" s="140"/>
      <c r="AJ17" s="140"/>
      <c r="AK17" s="140"/>
      <c r="AL17" s="140"/>
      <c r="AM17" s="140"/>
      <c r="AN17" s="140"/>
      <c r="AO17" s="140"/>
      <c r="AP17" s="140"/>
      <c r="AQ17" s="140"/>
      <c r="AR17" s="140"/>
      <c r="AS17" s="140"/>
      <c r="AT17" s="140"/>
      <c r="AU17" s="140"/>
      <c r="AV17" s="140"/>
      <c r="AW17" s="140"/>
      <c r="AX17" s="140" t="str">
        <f>" " &amp; TEXT(AE17,"#0.00%") &amp; " " &amp; "ndn-cxx 라이브러리 수정 4" &amp; " " &amp; IF(P17="","",TEXT(P17,"M/D-")) &amp; IF(Q17="","",TEXT(Q17,"M/D")) &amp; " "</f>
        <v xml:space="preserve"> 0.00% ndn-cxx 라이브러리 수정 4 5/10-5/21 </v>
      </c>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row>
    <row r="18" spans="1:84" ht="12" customHeight="1" outlineLevel="4">
      <c r="A18" s="129"/>
      <c r="B18" s="129"/>
      <c r="C18" s="129">
        <v>5</v>
      </c>
      <c r="D18" s="130" t="s">
        <v>1663</v>
      </c>
      <c r="E18" s="131"/>
      <c r="F18" s="131"/>
      <c r="G18" s="131"/>
      <c r="H18" s="131"/>
      <c r="I18" s="131" t="s">
        <v>1512</v>
      </c>
      <c r="J18" s="131"/>
      <c r="K18" s="131"/>
      <c r="L18" s="131"/>
      <c r="M18" s="131"/>
      <c r="N18" s="131"/>
      <c r="O18" s="131"/>
      <c r="P18" s="132">
        <v>44340</v>
      </c>
      <c r="Q18" s="132">
        <v>44351</v>
      </c>
      <c r="R18" s="133"/>
      <c r="S18" s="134">
        <v>10</v>
      </c>
      <c r="T18" s="134">
        <v>0</v>
      </c>
      <c r="U18" s="134">
        <v>10</v>
      </c>
      <c r="V18" s="134">
        <v>0</v>
      </c>
      <c r="W18" s="132"/>
      <c r="X18" s="132"/>
      <c r="Y18" s="135"/>
      <c r="Z18" s="136">
        <v>0</v>
      </c>
      <c r="AA18" s="134"/>
      <c r="AB18" s="133"/>
      <c r="AC18" s="137"/>
      <c r="AD18" s="138">
        <v>0</v>
      </c>
      <c r="AE18" s="165">
        <v>0</v>
      </c>
      <c r="AF18" s="139"/>
      <c r="AG18" s="140"/>
      <c r="AH18" s="140"/>
      <c r="AI18" s="140"/>
      <c r="AJ18" s="140"/>
      <c r="AK18" s="140"/>
      <c r="AL18" s="140"/>
      <c r="AM18" s="140"/>
      <c r="AN18" s="140"/>
      <c r="AO18" s="140"/>
      <c r="AP18" s="140"/>
      <c r="AQ18" s="140"/>
      <c r="AR18" s="140"/>
      <c r="AS18" s="140"/>
      <c r="AT18" s="140"/>
      <c r="AU18" s="140"/>
      <c r="AV18" s="140"/>
      <c r="AW18" s="140"/>
      <c r="AX18" s="140"/>
      <c r="AY18" s="140"/>
      <c r="AZ18" s="140" t="str">
        <f>" " &amp; TEXT(AE18,"#0.00%") &amp; " " &amp; "ndn-cxx 라이브러리 수정 5" &amp; " " &amp; IF(P18="","",TEXT(P18,"M/D-")) &amp; IF(Q18="","",TEXT(Q18,"M/D")) &amp; " "</f>
        <v xml:space="preserve"> 0.00% ndn-cxx 라이브러리 수정 5 5/24-6/4 </v>
      </c>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row>
    <row r="19" spans="1:84" ht="12" customHeight="1" outlineLevel="4">
      <c r="A19" s="129"/>
      <c r="B19" s="129"/>
      <c r="C19" s="129">
        <v>5</v>
      </c>
      <c r="D19" s="130" t="s">
        <v>1664</v>
      </c>
      <c r="E19" s="131"/>
      <c r="F19" s="131"/>
      <c r="G19" s="131"/>
      <c r="H19" s="131"/>
      <c r="I19" s="131" t="s">
        <v>1513</v>
      </c>
      <c r="J19" s="131"/>
      <c r="K19" s="131"/>
      <c r="L19" s="131"/>
      <c r="M19" s="131"/>
      <c r="N19" s="131"/>
      <c r="O19" s="131"/>
      <c r="P19" s="132">
        <v>44354</v>
      </c>
      <c r="Q19" s="132">
        <v>44365</v>
      </c>
      <c r="R19" s="133"/>
      <c r="S19" s="134">
        <v>10</v>
      </c>
      <c r="T19" s="134">
        <v>0</v>
      </c>
      <c r="U19" s="134">
        <v>10</v>
      </c>
      <c r="V19" s="134">
        <v>0</v>
      </c>
      <c r="W19" s="132"/>
      <c r="X19" s="132"/>
      <c r="Y19" s="135"/>
      <c r="Z19" s="136">
        <v>0</v>
      </c>
      <c r="AA19" s="134"/>
      <c r="AB19" s="133"/>
      <c r="AC19" s="137"/>
      <c r="AD19" s="138">
        <v>0</v>
      </c>
      <c r="AE19" s="165">
        <v>0</v>
      </c>
      <c r="AF19" s="139"/>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t="str">
        <f>" " &amp; TEXT(AE19,"#0.00%") &amp; " " &amp; "DIFS 연동 모듈 수정 1" &amp; " " &amp; IF(P19="","",TEXT(P19,"M/D-")) &amp; IF(Q19="","",TEXT(Q19,"M/D")) &amp; " "</f>
        <v xml:space="preserve"> 0.00% DIFS 연동 모듈 수정 1 6/7-6/18 </v>
      </c>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row>
    <row r="20" spans="1:84" ht="12" customHeight="1" outlineLevel="4">
      <c r="A20" s="129"/>
      <c r="B20" s="129"/>
      <c r="C20" s="129">
        <v>5</v>
      </c>
      <c r="D20" s="130" t="s">
        <v>1665</v>
      </c>
      <c r="E20" s="131"/>
      <c r="F20" s="131"/>
      <c r="G20" s="131"/>
      <c r="H20" s="131"/>
      <c r="I20" s="131" t="s">
        <v>1514</v>
      </c>
      <c r="J20" s="131"/>
      <c r="K20" s="131"/>
      <c r="L20" s="131"/>
      <c r="M20" s="131"/>
      <c r="N20" s="131"/>
      <c r="O20" s="131"/>
      <c r="P20" s="132">
        <v>44368</v>
      </c>
      <c r="Q20" s="132">
        <v>44379</v>
      </c>
      <c r="R20" s="133"/>
      <c r="S20" s="134">
        <v>10</v>
      </c>
      <c r="T20" s="134">
        <v>0</v>
      </c>
      <c r="U20" s="134">
        <v>10</v>
      </c>
      <c r="V20" s="134">
        <v>0</v>
      </c>
      <c r="W20" s="132"/>
      <c r="X20" s="132"/>
      <c r="Y20" s="135"/>
      <c r="Z20" s="136">
        <v>0</v>
      </c>
      <c r="AA20" s="134"/>
      <c r="AB20" s="133"/>
      <c r="AC20" s="137"/>
      <c r="AD20" s="138">
        <v>0</v>
      </c>
      <c r="AE20" s="165">
        <v>0</v>
      </c>
      <c r="AF20" s="139"/>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t="str">
        <f>" " &amp; TEXT(AE20,"#0.00%") &amp; " " &amp; "DIFS 연동 모듈 수정 2" &amp; " " &amp; IF(P20="","",TEXT(P20,"M/D-")) &amp; IF(Q20="","",TEXT(Q20,"M/D")) &amp; " "</f>
        <v xml:space="preserve"> 0.00% DIFS 연동 모듈 수정 2 6/21-7/2 </v>
      </c>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row>
    <row r="21" spans="1:84" ht="12" customHeight="1" outlineLevel="3">
      <c r="A21" s="129"/>
      <c r="B21" s="129" t="s">
        <v>1345</v>
      </c>
      <c r="C21" s="129">
        <v>4</v>
      </c>
      <c r="D21" s="130" t="s">
        <v>1504</v>
      </c>
      <c r="E21" s="131"/>
      <c r="F21" s="131"/>
      <c r="G21" s="131"/>
      <c r="H21" s="131" t="s">
        <v>1404</v>
      </c>
      <c r="I21" s="131"/>
      <c r="J21" s="131"/>
      <c r="K21" s="131"/>
      <c r="L21" s="131"/>
      <c r="M21" s="131"/>
      <c r="N21" s="131"/>
      <c r="O21" s="131"/>
      <c r="P21" s="132">
        <v>44382</v>
      </c>
      <c r="Q21" s="132">
        <v>44407</v>
      </c>
      <c r="R21" s="133"/>
      <c r="S21" s="134">
        <v>20</v>
      </c>
      <c r="T21" s="134">
        <v>0</v>
      </c>
      <c r="U21" s="134">
        <v>20</v>
      </c>
      <c r="V21" s="134">
        <v>0</v>
      </c>
      <c r="W21" s="132"/>
      <c r="X21" s="132"/>
      <c r="Y21" s="135">
        <v>0</v>
      </c>
      <c r="Z21" s="136">
        <v>0</v>
      </c>
      <c r="AA21" s="134"/>
      <c r="AB21" s="133" t="s">
        <v>1405</v>
      </c>
      <c r="AC21" s="137"/>
      <c r="AD21" s="138">
        <v>0</v>
      </c>
      <c r="AE21" s="192">
        <v>0</v>
      </c>
      <c r="AF21" s="139"/>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t="str">
        <f>" " &amp; TEXT(AE21,"#0.00%") &amp; " "</f>
        <v xml:space="preserve"> 0.00% </v>
      </c>
      <c r="BG21" s="140"/>
      <c r="BH21" s="140"/>
      <c r="BI21" s="140" t="str">
        <f>"      " &amp; "기능 테스트 및 디버깅" &amp; "(박세형)" &amp; " " &amp; IF(P21="","",TEXT(P21,"M/D-")) &amp; IF(Q21="","",TEXT(Q21,"M/D")) &amp; " "</f>
        <v xml:space="preserve">      기능 테스트 및 디버깅(박세형) 7/5-7/30 </v>
      </c>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row>
    <row r="22" spans="1:84" ht="12" customHeight="1" outlineLevel="4">
      <c r="A22" s="129"/>
      <c r="B22" s="129"/>
      <c r="C22" s="129">
        <v>5</v>
      </c>
      <c r="D22" s="130" t="s">
        <v>1666</v>
      </c>
      <c r="E22" s="131"/>
      <c r="F22" s="131"/>
      <c r="G22" s="131"/>
      <c r="H22" s="131"/>
      <c r="I22" s="131" t="s">
        <v>1518</v>
      </c>
      <c r="J22" s="131"/>
      <c r="K22" s="131"/>
      <c r="L22" s="131"/>
      <c r="M22" s="131"/>
      <c r="N22" s="131"/>
      <c r="O22" s="131"/>
      <c r="P22" s="132">
        <v>44382</v>
      </c>
      <c r="Q22" s="132">
        <v>44393</v>
      </c>
      <c r="R22" s="133"/>
      <c r="S22" s="134">
        <v>10</v>
      </c>
      <c r="T22" s="134">
        <v>0</v>
      </c>
      <c r="U22" s="134">
        <v>10</v>
      </c>
      <c r="V22" s="134">
        <v>0</v>
      </c>
      <c r="W22" s="132"/>
      <c r="X22" s="132"/>
      <c r="Y22" s="135"/>
      <c r="Z22" s="136">
        <v>0</v>
      </c>
      <c r="AA22" s="134"/>
      <c r="AB22" s="133"/>
      <c r="AC22" s="137"/>
      <c r="AD22" s="138">
        <v>0</v>
      </c>
      <c r="AE22" s="165">
        <v>0</v>
      </c>
      <c r="AF22" s="139"/>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t="str">
        <f>" " &amp; TEXT(AE22,"#0.00%") &amp; " " &amp; "유닛 테스트 및 디버깅 1" &amp; " " &amp; IF(P22="","",TEXT(P22,"M/D-")) &amp; IF(Q22="","",TEXT(Q22,"M/D")) &amp; " "</f>
        <v xml:space="preserve"> 0.00% 유닛 테스트 및 디버깅 1 7/5-7/16 </v>
      </c>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row>
    <row r="23" spans="1:84" ht="12" customHeight="1" outlineLevel="4">
      <c r="A23" s="129"/>
      <c r="B23" s="129"/>
      <c r="C23" s="129">
        <v>5</v>
      </c>
      <c r="D23" s="130" t="s">
        <v>1667</v>
      </c>
      <c r="E23" s="131"/>
      <c r="F23" s="131"/>
      <c r="G23" s="131"/>
      <c r="H23" s="131"/>
      <c r="I23" s="131" t="s">
        <v>1519</v>
      </c>
      <c r="J23" s="131"/>
      <c r="K23" s="131"/>
      <c r="L23" s="131"/>
      <c r="M23" s="131"/>
      <c r="N23" s="131"/>
      <c r="O23" s="131"/>
      <c r="P23" s="132">
        <v>44396</v>
      </c>
      <c r="Q23" s="132">
        <v>44407</v>
      </c>
      <c r="R23" s="133"/>
      <c r="S23" s="134">
        <v>10</v>
      </c>
      <c r="T23" s="134">
        <v>0</v>
      </c>
      <c r="U23" s="134">
        <v>10</v>
      </c>
      <c r="V23" s="134">
        <v>0</v>
      </c>
      <c r="W23" s="132"/>
      <c r="X23" s="132"/>
      <c r="Y23" s="135"/>
      <c r="Z23" s="136">
        <v>0</v>
      </c>
      <c r="AA23" s="134"/>
      <c r="AB23" s="133"/>
      <c r="AC23" s="137"/>
      <c r="AD23" s="138">
        <v>0</v>
      </c>
      <c r="AE23" s="165">
        <v>0</v>
      </c>
      <c r="AF23" s="139"/>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t="str">
        <f>" " &amp; TEXT(AE23,"#0.00%") &amp; " " &amp; "유닛 테스트 및 디버깅 2" &amp; " " &amp; IF(P23="","",TEXT(P23,"M/D-")) &amp; IF(Q23="","",TEXT(Q23,"M/D")) &amp; " "</f>
        <v xml:space="preserve"> 0.00% 유닛 테스트 및 디버깅 2 7/19-7/30 </v>
      </c>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row>
    <row r="24" spans="1:84" ht="12" customHeight="1" outlineLevel="2">
      <c r="A24" s="129"/>
      <c r="B24" s="129" t="s">
        <v>1345</v>
      </c>
      <c r="C24" s="129">
        <v>3</v>
      </c>
      <c r="D24" s="130" t="s">
        <v>1068</v>
      </c>
      <c r="E24" s="131"/>
      <c r="F24" s="131"/>
      <c r="G24" s="131" t="s">
        <v>1385</v>
      </c>
      <c r="H24" s="131"/>
      <c r="I24" s="131"/>
      <c r="J24" s="131"/>
      <c r="K24" s="131"/>
      <c r="L24" s="131"/>
      <c r="M24" s="131"/>
      <c r="N24" s="131"/>
      <c r="O24" s="131"/>
      <c r="P24" s="132">
        <v>44200</v>
      </c>
      <c r="Q24" s="132">
        <v>44561</v>
      </c>
      <c r="R24" s="133"/>
      <c r="S24" s="134">
        <v>272</v>
      </c>
      <c r="T24" s="134">
        <v>26</v>
      </c>
      <c r="U24" s="134">
        <v>252</v>
      </c>
      <c r="V24" s="134">
        <v>26</v>
      </c>
      <c r="W24" s="132"/>
      <c r="X24" s="132"/>
      <c r="Y24" s="135">
        <v>0</v>
      </c>
      <c r="Z24" s="136">
        <v>0</v>
      </c>
      <c r="AA24" s="134"/>
      <c r="AB24" s="133" t="s">
        <v>1405</v>
      </c>
      <c r="AC24" s="137"/>
      <c r="AD24" s="138">
        <v>9.5588235294117641E-2</v>
      </c>
      <c r="AE24" s="194">
        <v>0</v>
      </c>
      <c r="AF24" s="139" t="str">
        <f>" " &amp; TEXT(AE24,"#0.00%") &amp; " "</f>
        <v xml:space="preserve"> 0.00% </v>
      </c>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t="str">
        <f>"      " &amp; "동적 노드 구성" &amp; "(박세형)" &amp; " " &amp; IF(P24="","",TEXT(P24,"M/D-")) &amp; IF(Q24="","",TEXT(Q24,"M/D")) &amp; " "</f>
        <v xml:space="preserve">      동적 노드 구성(박세형) 1/4-12/31 </v>
      </c>
      <c r="CF24" s="140"/>
    </row>
    <row r="25" spans="1:84" ht="12" customHeight="1" outlineLevel="3">
      <c r="A25" s="129"/>
      <c r="B25" s="129" t="s">
        <v>1345</v>
      </c>
      <c r="C25" s="129">
        <v>4</v>
      </c>
      <c r="D25" s="130" t="s">
        <v>1238</v>
      </c>
      <c r="E25" s="131"/>
      <c r="F25" s="131"/>
      <c r="G25" s="131"/>
      <c r="H25" s="131" t="s">
        <v>1389</v>
      </c>
      <c r="I25" s="131"/>
      <c r="J25" s="131"/>
      <c r="K25" s="131"/>
      <c r="L25" s="131"/>
      <c r="M25" s="131"/>
      <c r="N25" s="131"/>
      <c r="O25" s="131"/>
      <c r="P25" s="132">
        <v>44200</v>
      </c>
      <c r="Q25" s="132">
        <v>44253</v>
      </c>
      <c r="R25" s="133"/>
      <c r="S25" s="134">
        <v>38</v>
      </c>
      <c r="T25" s="134">
        <v>26</v>
      </c>
      <c r="U25" s="134">
        <v>38</v>
      </c>
      <c r="V25" s="134">
        <v>26</v>
      </c>
      <c r="W25" s="132"/>
      <c r="X25" s="132"/>
      <c r="Y25" s="135">
        <v>0</v>
      </c>
      <c r="Z25" s="136">
        <v>0</v>
      </c>
      <c r="AA25" s="134"/>
      <c r="AB25" s="133" t="s">
        <v>1405</v>
      </c>
      <c r="AC25" s="137" t="s">
        <v>1416</v>
      </c>
      <c r="AD25" s="138">
        <v>0.68421052631578949</v>
      </c>
      <c r="AE25" s="194">
        <v>0</v>
      </c>
      <c r="AF25" s="139" t="str">
        <f>" " &amp; TEXT(AE25,"#0.00%") &amp; " "</f>
        <v xml:space="preserve"> 0.00% </v>
      </c>
      <c r="AG25" s="140"/>
      <c r="AH25" s="140"/>
      <c r="AI25" s="140"/>
      <c r="AJ25" s="140"/>
      <c r="AK25" s="140"/>
      <c r="AL25" s="140"/>
      <c r="AM25" s="140" t="str">
        <f>"      " &amp; "개념 분석" &amp; "(박세형)" &amp; " " &amp; IF(P25="","",TEXT(P25,"M/D-")) &amp; IF(Q25="","",TEXT(Q25,"M/D")) &amp; " "</f>
        <v xml:space="preserve">      개념 분석(박세형) 1/4-2/26 </v>
      </c>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row>
    <row r="26" spans="1:84" ht="12" customHeight="1" outlineLevel="4">
      <c r="A26" s="129"/>
      <c r="B26" s="129"/>
      <c r="C26" s="129">
        <v>5</v>
      </c>
      <c r="D26" s="130" t="s">
        <v>1668</v>
      </c>
      <c r="E26" s="131"/>
      <c r="F26" s="131"/>
      <c r="G26" s="131"/>
      <c r="H26" s="131"/>
      <c r="I26" s="131" t="s">
        <v>1521</v>
      </c>
      <c r="J26" s="131"/>
      <c r="K26" s="131"/>
      <c r="L26" s="131"/>
      <c r="M26" s="131"/>
      <c r="N26" s="131"/>
      <c r="O26" s="131"/>
      <c r="P26" s="132">
        <v>44200</v>
      </c>
      <c r="Q26" s="132">
        <v>44211</v>
      </c>
      <c r="R26" s="133"/>
      <c r="S26" s="134">
        <v>10</v>
      </c>
      <c r="T26" s="134">
        <v>10</v>
      </c>
      <c r="U26" s="134">
        <v>10</v>
      </c>
      <c r="V26" s="134">
        <v>10</v>
      </c>
      <c r="W26" s="132"/>
      <c r="X26" s="132"/>
      <c r="Y26" s="135"/>
      <c r="Z26" s="136">
        <v>0</v>
      </c>
      <c r="AA26" s="134"/>
      <c r="AB26" s="133"/>
      <c r="AC26" s="137"/>
      <c r="AD26" s="138">
        <v>1</v>
      </c>
      <c r="AE26" s="193">
        <v>0</v>
      </c>
      <c r="AF26" s="139" t="str">
        <f>" " &amp; TEXT(AE26,"#0.00%") &amp; " " &amp; "선행 연구 분석 1" &amp; " " &amp; IF(P26="","",TEXT(P26,"M/D-")) &amp; IF(Q26="","",TEXT(Q26,"M/D")) &amp; " "</f>
        <v xml:space="preserve"> 0.00% 선행 연구 분석 1 1/4-1/15 </v>
      </c>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row>
    <row r="27" spans="1:84" ht="12" customHeight="1" outlineLevel="4">
      <c r="A27" s="129"/>
      <c r="B27" s="129"/>
      <c r="C27" s="129">
        <v>5</v>
      </c>
      <c r="D27" s="130" t="s">
        <v>1669</v>
      </c>
      <c r="E27" s="131"/>
      <c r="F27" s="131"/>
      <c r="G27" s="131"/>
      <c r="H27" s="131"/>
      <c r="I27" s="131" t="s">
        <v>1522</v>
      </c>
      <c r="J27" s="131"/>
      <c r="K27" s="131"/>
      <c r="L27" s="131"/>
      <c r="M27" s="131"/>
      <c r="N27" s="131"/>
      <c r="O27" s="131"/>
      <c r="P27" s="132">
        <v>44214</v>
      </c>
      <c r="Q27" s="132">
        <v>44225</v>
      </c>
      <c r="R27" s="133"/>
      <c r="S27" s="134">
        <v>10</v>
      </c>
      <c r="T27" s="134">
        <v>10</v>
      </c>
      <c r="U27" s="134">
        <v>10</v>
      </c>
      <c r="V27" s="134">
        <v>10</v>
      </c>
      <c r="W27" s="132"/>
      <c r="X27" s="132"/>
      <c r="Y27" s="135"/>
      <c r="Z27" s="136">
        <v>0</v>
      </c>
      <c r="AA27" s="134"/>
      <c r="AB27" s="133"/>
      <c r="AC27" s="137"/>
      <c r="AD27" s="138">
        <v>1</v>
      </c>
      <c r="AE27" s="193">
        <v>0</v>
      </c>
      <c r="AF27" s="139"/>
      <c r="AG27" s="140"/>
      <c r="AH27" s="140" t="str">
        <f>" " &amp; TEXT(AE27,"#0.00%") &amp; " " &amp; "선행 연구 분석 2" &amp; " " &amp; IF(P27="","",TEXT(P27,"M/D-")) &amp; IF(Q27="","",TEXT(Q27,"M/D")) &amp; " "</f>
        <v xml:space="preserve"> 0.00% 선행 연구 분석 2 1/18-1/29 </v>
      </c>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row>
    <row r="28" spans="1:84" ht="12" customHeight="1" outlineLevel="4">
      <c r="A28" s="129"/>
      <c r="B28" s="129"/>
      <c r="C28" s="129">
        <v>5</v>
      </c>
      <c r="D28" s="130" t="s">
        <v>1670</v>
      </c>
      <c r="E28" s="131"/>
      <c r="F28" s="131"/>
      <c r="G28" s="131"/>
      <c r="H28" s="131"/>
      <c r="I28" s="131" t="s">
        <v>1523</v>
      </c>
      <c r="J28" s="131"/>
      <c r="K28" s="131"/>
      <c r="L28" s="131"/>
      <c r="M28" s="131"/>
      <c r="N28" s="131"/>
      <c r="O28" s="131"/>
      <c r="P28" s="132">
        <v>44228</v>
      </c>
      <c r="Q28" s="132">
        <v>44239</v>
      </c>
      <c r="R28" s="133"/>
      <c r="S28" s="134">
        <v>8</v>
      </c>
      <c r="T28" s="134">
        <v>6</v>
      </c>
      <c r="U28" s="134">
        <v>8</v>
      </c>
      <c r="V28" s="134">
        <v>6</v>
      </c>
      <c r="W28" s="132"/>
      <c r="X28" s="132"/>
      <c r="Y28" s="135"/>
      <c r="Z28" s="136">
        <v>0</v>
      </c>
      <c r="AA28" s="134"/>
      <c r="AB28" s="133"/>
      <c r="AC28" s="137"/>
      <c r="AD28" s="138">
        <v>0.75</v>
      </c>
      <c r="AE28" s="193">
        <v>0</v>
      </c>
      <c r="AF28" s="139"/>
      <c r="AG28" s="140"/>
      <c r="AH28" s="140"/>
      <c r="AI28" s="140"/>
      <c r="AJ28" s="140" t="str">
        <f>" " &amp; TEXT(AE28,"#0.00%") &amp; " " &amp; "선행 연구 분석 3" &amp; " " &amp; IF(P28="","",TEXT(P28,"M/D-")) &amp; IF(Q28="","",TEXT(Q28,"M/D")) &amp; " "</f>
        <v xml:space="preserve"> 0.00% 선행 연구 분석 3 2/1-2/12 </v>
      </c>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row>
    <row r="29" spans="1:84" ht="12" customHeight="1" outlineLevel="4">
      <c r="A29" s="129"/>
      <c r="B29" s="129"/>
      <c r="C29" s="129">
        <v>5</v>
      </c>
      <c r="D29" s="130" t="s">
        <v>1671</v>
      </c>
      <c r="E29" s="131"/>
      <c r="F29" s="131"/>
      <c r="G29" s="131"/>
      <c r="H29" s="131"/>
      <c r="I29" s="131" t="s">
        <v>1524</v>
      </c>
      <c r="J29" s="131"/>
      <c r="K29" s="131"/>
      <c r="L29" s="131"/>
      <c r="M29" s="131"/>
      <c r="N29" s="131"/>
      <c r="O29" s="131"/>
      <c r="P29" s="132">
        <v>44242</v>
      </c>
      <c r="Q29" s="132">
        <v>44253</v>
      </c>
      <c r="R29" s="133"/>
      <c r="S29" s="134">
        <v>10</v>
      </c>
      <c r="T29" s="134">
        <v>0</v>
      </c>
      <c r="U29" s="134">
        <v>10</v>
      </c>
      <c r="V29" s="134">
        <v>0</v>
      </c>
      <c r="W29" s="132"/>
      <c r="X29" s="132"/>
      <c r="Y29" s="135"/>
      <c r="Z29" s="136">
        <v>0</v>
      </c>
      <c r="AA29" s="134"/>
      <c r="AB29" s="133"/>
      <c r="AC29" s="137"/>
      <c r="AD29" s="138">
        <v>0</v>
      </c>
      <c r="AE29" s="165">
        <v>0</v>
      </c>
      <c r="AF29" s="139"/>
      <c r="AG29" s="140"/>
      <c r="AH29" s="140"/>
      <c r="AI29" s="140"/>
      <c r="AJ29" s="140"/>
      <c r="AK29" s="140"/>
      <c r="AL29" s="140" t="str">
        <f>" " &amp; TEXT(AE29,"#0.00%") &amp; " " &amp; "선행 연구 분석 4" &amp; " " &amp; IF(P29="","",TEXT(P29,"M/D-")) &amp; IF(Q29="","",TEXT(Q29,"M/D")) &amp; " "</f>
        <v xml:space="preserve"> 0.00% 선행 연구 분석 4 2/15-2/26 </v>
      </c>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row>
    <row r="30" spans="1:84" ht="12" customHeight="1" outlineLevel="3">
      <c r="A30" s="129"/>
      <c r="B30" s="129" t="s">
        <v>1345</v>
      </c>
      <c r="C30" s="129">
        <v>4</v>
      </c>
      <c r="D30" s="130" t="s">
        <v>1239</v>
      </c>
      <c r="E30" s="131"/>
      <c r="F30" s="131"/>
      <c r="G30" s="131"/>
      <c r="H30" s="131" t="s">
        <v>1392</v>
      </c>
      <c r="I30" s="131"/>
      <c r="J30" s="131"/>
      <c r="K30" s="131"/>
      <c r="L30" s="131"/>
      <c r="M30" s="131"/>
      <c r="N30" s="131"/>
      <c r="O30" s="131"/>
      <c r="P30" s="132">
        <v>44256</v>
      </c>
      <c r="Q30" s="132">
        <v>44309</v>
      </c>
      <c r="R30" s="133"/>
      <c r="S30" s="134">
        <v>39</v>
      </c>
      <c r="T30" s="134">
        <v>0</v>
      </c>
      <c r="U30" s="134">
        <v>39</v>
      </c>
      <c r="V30" s="134">
        <v>0</v>
      </c>
      <c r="W30" s="132"/>
      <c r="X30" s="132"/>
      <c r="Y30" s="135">
        <v>0</v>
      </c>
      <c r="Z30" s="136">
        <v>0</v>
      </c>
      <c r="AA30" s="134"/>
      <c r="AB30" s="133" t="s">
        <v>1405</v>
      </c>
      <c r="AC30" s="137" t="s">
        <v>1417</v>
      </c>
      <c r="AD30" s="138">
        <v>0</v>
      </c>
      <c r="AE30" s="192">
        <v>0</v>
      </c>
      <c r="AF30" s="139"/>
      <c r="AG30" s="140"/>
      <c r="AH30" s="140"/>
      <c r="AI30" s="140"/>
      <c r="AJ30" s="140"/>
      <c r="AK30" s="140"/>
      <c r="AL30" s="140"/>
      <c r="AM30" s="140"/>
      <c r="AN30" s="140" t="str">
        <f>" " &amp; TEXT(AE30,"#0.00%") &amp; " "</f>
        <v xml:space="preserve"> 0.00% </v>
      </c>
      <c r="AO30" s="140"/>
      <c r="AP30" s="140"/>
      <c r="AQ30" s="140"/>
      <c r="AR30" s="140"/>
      <c r="AS30" s="140"/>
      <c r="AT30" s="140"/>
      <c r="AU30" s="140" t="str">
        <f>"      " &amp; "기능 정의 및 설계" &amp; "(박세형)" &amp; " " &amp; IF(P30="","",TEXT(P30,"M/D-")) &amp; IF(Q30="","",TEXT(Q30,"M/D")) &amp; " "</f>
        <v xml:space="preserve">      기능 정의 및 설계(박세형) 3/1-4/23 </v>
      </c>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row>
    <row r="31" spans="1:84" ht="12" customHeight="1" outlineLevel="4">
      <c r="A31" s="129"/>
      <c r="B31" s="129"/>
      <c r="C31" s="129">
        <v>5</v>
      </c>
      <c r="D31" s="130" t="s">
        <v>1672</v>
      </c>
      <c r="E31" s="131"/>
      <c r="F31" s="131"/>
      <c r="G31" s="131"/>
      <c r="H31" s="131"/>
      <c r="I31" s="131" t="s">
        <v>1525</v>
      </c>
      <c r="J31" s="131"/>
      <c r="K31" s="131"/>
      <c r="L31" s="131"/>
      <c r="M31" s="131"/>
      <c r="N31" s="131"/>
      <c r="O31" s="131"/>
      <c r="P31" s="132">
        <v>44256</v>
      </c>
      <c r="Q31" s="132">
        <v>44267</v>
      </c>
      <c r="R31" s="133"/>
      <c r="S31" s="134">
        <v>9</v>
      </c>
      <c r="T31" s="134">
        <v>0</v>
      </c>
      <c r="U31" s="134">
        <v>9</v>
      </c>
      <c r="V31" s="134">
        <v>0</v>
      </c>
      <c r="W31" s="132">
        <v>44190</v>
      </c>
      <c r="X31" s="132"/>
      <c r="Y31" s="135">
        <v>-31565</v>
      </c>
      <c r="Z31" s="136">
        <v>0</v>
      </c>
      <c r="AA31" s="134">
        <v>1</v>
      </c>
      <c r="AB31" s="133"/>
      <c r="AC31" s="137"/>
      <c r="AD31" s="138">
        <v>0</v>
      </c>
      <c r="AE31" s="165">
        <v>0</v>
      </c>
      <c r="AF31" s="139"/>
      <c r="AG31" s="140"/>
      <c r="AH31" s="140"/>
      <c r="AI31" s="140"/>
      <c r="AJ31" s="140"/>
      <c r="AK31" s="140"/>
      <c r="AL31" s="140"/>
      <c r="AM31" s="140"/>
      <c r="AN31" s="140" t="str">
        <f>" " &amp; TEXT(AE31,"#0.00%") &amp; " " &amp; "필수 기능 정의 1" &amp; " " &amp; IF(P31="","",TEXT(P31,"M/D-")) &amp; IF(Q31="","",TEXT(Q31,"M/D")) &amp; " "</f>
        <v xml:space="preserve"> 0.00% 필수 기능 정의 1 3/1-3/12 </v>
      </c>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row>
    <row r="32" spans="1:84" ht="12" customHeight="1" outlineLevel="4">
      <c r="A32" s="129"/>
      <c r="B32" s="129"/>
      <c r="C32" s="129">
        <v>5</v>
      </c>
      <c r="D32" s="130" t="s">
        <v>1673</v>
      </c>
      <c r="E32" s="131"/>
      <c r="F32" s="131"/>
      <c r="G32" s="131"/>
      <c r="H32" s="131"/>
      <c r="I32" s="131" t="s">
        <v>1526</v>
      </c>
      <c r="J32" s="131"/>
      <c r="K32" s="131"/>
      <c r="L32" s="131"/>
      <c r="M32" s="131"/>
      <c r="N32" s="131"/>
      <c r="O32" s="131"/>
      <c r="P32" s="132">
        <v>44270</v>
      </c>
      <c r="Q32" s="132">
        <v>44281</v>
      </c>
      <c r="R32" s="133"/>
      <c r="S32" s="134">
        <v>10</v>
      </c>
      <c r="T32" s="134">
        <v>0</v>
      </c>
      <c r="U32" s="134">
        <v>10</v>
      </c>
      <c r="V32" s="134">
        <v>0</v>
      </c>
      <c r="W32" s="132"/>
      <c r="X32" s="132"/>
      <c r="Y32" s="135"/>
      <c r="Z32" s="136">
        <v>0</v>
      </c>
      <c r="AA32" s="134"/>
      <c r="AB32" s="133"/>
      <c r="AC32" s="137"/>
      <c r="AD32" s="138">
        <v>0</v>
      </c>
      <c r="AE32" s="165">
        <v>0</v>
      </c>
      <c r="AF32" s="139"/>
      <c r="AG32" s="140"/>
      <c r="AH32" s="140"/>
      <c r="AI32" s="140"/>
      <c r="AJ32" s="140"/>
      <c r="AK32" s="140"/>
      <c r="AL32" s="140"/>
      <c r="AM32" s="140"/>
      <c r="AN32" s="140"/>
      <c r="AO32" s="140"/>
      <c r="AP32" s="140" t="str">
        <f>" " &amp; TEXT(AE32,"#0.00%") &amp; " " &amp; "필수 기능 정의 2" &amp; " " &amp; IF(P32="","",TEXT(P32,"M/D-")) &amp; IF(Q32="","",TEXT(Q32,"M/D")) &amp; " "</f>
        <v xml:space="preserve"> 0.00% 필수 기능 정의 2 3/15-3/26 </v>
      </c>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row>
    <row r="33" spans="1:84" ht="12" customHeight="1" outlineLevel="4">
      <c r="A33" s="129"/>
      <c r="B33" s="129"/>
      <c r="C33" s="129">
        <v>5</v>
      </c>
      <c r="D33" s="130" t="s">
        <v>1674</v>
      </c>
      <c r="E33" s="131"/>
      <c r="F33" s="131"/>
      <c r="G33" s="131"/>
      <c r="H33" s="131"/>
      <c r="I33" s="131" t="s">
        <v>1527</v>
      </c>
      <c r="J33" s="131"/>
      <c r="K33" s="131"/>
      <c r="L33" s="131"/>
      <c r="M33" s="131"/>
      <c r="N33" s="131"/>
      <c r="O33" s="131"/>
      <c r="P33" s="132">
        <v>44284</v>
      </c>
      <c r="Q33" s="132">
        <v>44295</v>
      </c>
      <c r="R33" s="133"/>
      <c r="S33" s="134">
        <v>10</v>
      </c>
      <c r="T33" s="134">
        <v>0</v>
      </c>
      <c r="U33" s="134">
        <v>10</v>
      </c>
      <c r="V33" s="134">
        <v>0</v>
      </c>
      <c r="W33" s="132"/>
      <c r="X33" s="132"/>
      <c r="Y33" s="135"/>
      <c r="Z33" s="136">
        <v>0</v>
      </c>
      <c r="AA33" s="134"/>
      <c r="AB33" s="133"/>
      <c r="AC33" s="137"/>
      <c r="AD33" s="138">
        <v>0</v>
      </c>
      <c r="AE33" s="165">
        <v>0</v>
      </c>
      <c r="AF33" s="139"/>
      <c r="AG33" s="140"/>
      <c r="AH33" s="140"/>
      <c r="AI33" s="140"/>
      <c r="AJ33" s="140"/>
      <c r="AK33" s="140"/>
      <c r="AL33" s="140"/>
      <c r="AM33" s="140"/>
      <c r="AN33" s="140"/>
      <c r="AO33" s="140"/>
      <c r="AP33" s="140"/>
      <c r="AQ33" s="140"/>
      <c r="AR33" s="140" t="str">
        <f>" " &amp; TEXT(AE33,"#0.00%") &amp; " " &amp; "동적 노드 구성 설계 1" &amp; " " &amp; IF(P33="","",TEXT(P33,"M/D-")) &amp; IF(Q33="","",TEXT(Q33,"M/D")) &amp; " "</f>
        <v xml:space="preserve"> 0.00% 동적 노드 구성 설계 1 3/29-4/9 </v>
      </c>
      <c r="AS33" s="140"/>
      <c r="AT33" s="140"/>
      <c r="AU33" s="140"/>
      <c r="AV33" s="140"/>
      <c r="AW33" s="140"/>
      <c r="AX33" s="140"/>
      <c r="AY33" s="140"/>
      <c r="AZ33" s="140"/>
      <c r="BA33" s="140"/>
      <c r="BB33" s="140"/>
      <c r="BC33" s="140"/>
      <c r="BD33" s="140"/>
      <c r="BE33" s="140"/>
      <c r="BF33" s="140"/>
      <c r="BG33" s="140"/>
      <c r="BH33" s="140"/>
      <c r="BI33" s="140"/>
      <c r="BJ33" s="140"/>
      <c r="BK33" s="140"/>
      <c r="BL33" s="140"/>
      <c r="BM33" s="140"/>
      <c r="BN33" s="140"/>
      <c r="BO33" s="140"/>
      <c r="BP33" s="140"/>
      <c r="BQ33" s="140"/>
      <c r="BR33" s="140"/>
      <c r="BS33" s="140"/>
      <c r="BT33" s="140"/>
      <c r="BU33" s="140"/>
      <c r="BV33" s="140"/>
      <c r="BW33" s="140"/>
      <c r="BX33" s="140"/>
      <c r="BY33" s="140"/>
      <c r="BZ33" s="140"/>
      <c r="CA33" s="140"/>
      <c r="CB33" s="140"/>
      <c r="CC33" s="140"/>
      <c r="CD33" s="140"/>
      <c r="CE33" s="140"/>
      <c r="CF33" s="140"/>
    </row>
    <row r="34" spans="1:84" ht="12" customHeight="1" outlineLevel="4">
      <c r="A34" s="129"/>
      <c r="B34" s="129"/>
      <c r="C34" s="129">
        <v>5</v>
      </c>
      <c r="D34" s="130" t="s">
        <v>1675</v>
      </c>
      <c r="E34" s="131"/>
      <c r="F34" s="131"/>
      <c r="G34" s="131"/>
      <c r="H34" s="131"/>
      <c r="I34" s="131" t="s">
        <v>1528</v>
      </c>
      <c r="J34" s="131"/>
      <c r="K34" s="131"/>
      <c r="L34" s="131"/>
      <c r="M34" s="131"/>
      <c r="N34" s="131"/>
      <c r="O34" s="131"/>
      <c r="P34" s="132">
        <v>44298</v>
      </c>
      <c r="Q34" s="132">
        <v>44309</v>
      </c>
      <c r="R34" s="133"/>
      <c r="S34" s="134">
        <v>10</v>
      </c>
      <c r="T34" s="134">
        <v>0</v>
      </c>
      <c r="U34" s="134">
        <v>10</v>
      </c>
      <c r="V34" s="134">
        <v>0</v>
      </c>
      <c r="W34" s="132"/>
      <c r="X34" s="132"/>
      <c r="Y34" s="135"/>
      <c r="Z34" s="136">
        <v>0</v>
      </c>
      <c r="AA34" s="134"/>
      <c r="AB34" s="133"/>
      <c r="AC34" s="137"/>
      <c r="AD34" s="138">
        <v>0</v>
      </c>
      <c r="AE34" s="165">
        <v>0</v>
      </c>
      <c r="AF34" s="139"/>
      <c r="AG34" s="140"/>
      <c r="AH34" s="140"/>
      <c r="AI34" s="140"/>
      <c r="AJ34" s="140"/>
      <c r="AK34" s="140"/>
      <c r="AL34" s="140"/>
      <c r="AM34" s="140"/>
      <c r="AN34" s="140"/>
      <c r="AO34" s="140"/>
      <c r="AP34" s="140"/>
      <c r="AQ34" s="140"/>
      <c r="AR34" s="140"/>
      <c r="AS34" s="140"/>
      <c r="AT34" s="140" t="str">
        <f>" " &amp; TEXT(AE34,"#0.00%") &amp; " " &amp; "동적 노드 구성 설계 2" &amp; " " &amp; IF(P34="","",TEXT(P34,"M/D-")) &amp; IF(Q34="","",TEXT(Q34,"M/D")) &amp; " "</f>
        <v xml:space="preserve"> 0.00% 동적 노드 구성 설계 2 4/12-4/23 </v>
      </c>
      <c r="AU34" s="140"/>
      <c r="AV34" s="140"/>
      <c r="AW34" s="140"/>
      <c r="AX34" s="140"/>
      <c r="AY34" s="140"/>
      <c r="AZ34" s="140"/>
      <c r="BA34" s="140"/>
      <c r="BB34" s="140"/>
      <c r="BC34" s="140"/>
      <c r="BD34" s="140"/>
      <c r="BE34" s="140"/>
      <c r="BF34" s="140"/>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row>
    <row r="35" spans="1:84" ht="12" customHeight="1" outlineLevel="3">
      <c r="A35" s="129"/>
      <c r="B35" s="129" t="s">
        <v>1345</v>
      </c>
      <c r="C35" s="129">
        <v>4</v>
      </c>
      <c r="D35" s="206" t="s">
        <v>1515</v>
      </c>
      <c r="E35" s="207"/>
      <c r="F35" s="207"/>
      <c r="G35" s="207"/>
      <c r="H35" s="208" t="s">
        <v>1403</v>
      </c>
      <c r="I35" s="208"/>
      <c r="J35" s="208"/>
      <c r="K35" s="208"/>
      <c r="L35" s="208"/>
      <c r="M35" s="208"/>
      <c r="N35" s="208"/>
      <c r="O35" s="208"/>
      <c r="P35" s="209">
        <v>44312</v>
      </c>
      <c r="Q35" s="209">
        <v>44463</v>
      </c>
      <c r="R35" s="210"/>
      <c r="S35" s="211">
        <v>105</v>
      </c>
      <c r="T35" s="211">
        <v>0</v>
      </c>
      <c r="U35" s="211">
        <v>105</v>
      </c>
      <c r="V35" s="211">
        <v>0</v>
      </c>
      <c r="W35" s="209"/>
      <c r="X35" s="209"/>
      <c r="Y35" s="212">
        <v>0</v>
      </c>
      <c r="Z35" s="213">
        <v>0</v>
      </c>
      <c r="AA35" s="211"/>
      <c r="AB35" s="216" t="s">
        <v>1405</v>
      </c>
      <c r="AC35" s="214" t="s">
        <v>1418</v>
      </c>
      <c r="AD35" s="215">
        <v>0</v>
      </c>
      <c r="AE35" s="192">
        <v>0</v>
      </c>
      <c r="AF35" s="139"/>
      <c r="AG35" s="140"/>
      <c r="AH35" s="140"/>
      <c r="AI35" s="140"/>
      <c r="AJ35" s="140"/>
      <c r="AK35" s="140"/>
      <c r="AL35" s="140"/>
      <c r="AM35" s="140"/>
      <c r="AN35" s="140"/>
      <c r="AO35" s="140"/>
      <c r="AP35" s="140"/>
      <c r="AQ35" s="140"/>
      <c r="AR35" s="140"/>
      <c r="AS35" s="140"/>
      <c r="AT35" s="140"/>
      <c r="AU35" s="140"/>
      <c r="AV35" s="140" t="str">
        <f>" " &amp; TEXT(AE35,"#0.00%") &amp; " "</f>
        <v xml:space="preserve"> 0.00% </v>
      </c>
      <c r="AW35" s="140"/>
      <c r="AX35" s="140"/>
      <c r="AY35" s="140"/>
      <c r="AZ35" s="140"/>
      <c r="BA35" s="140"/>
      <c r="BB35" s="140"/>
      <c r="BC35" s="140"/>
      <c r="BD35" s="140"/>
      <c r="BE35" s="140"/>
      <c r="BF35" s="140"/>
      <c r="BG35" s="140"/>
      <c r="BH35" s="140"/>
      <c r="BI35" s="140"/>
      <c r="BJ35" s="140"/>
      <c r="BK35" s="140"/>
      <c r="BL35" s="140"/>
      <c r="BM35" s="140"/>
      <c r="BN35" s="140"/>
      <c r="BO35" s="140"/>
      <c r="BP35" s="140"/>
      <c r="BQ35" s="140" t="str">
        <f>"      " &amp; "기능 구현" &amp; "(박세형)" &amp; " " &amp; IF(P35="","",TEXT(P35,"M/D-")) &amp; IF(Q35="","",TEXT(Q35,"M/D")) &amp; " "</f>
        <v xml:space="preserve">      기능 구현(박세형) 4/26-9/24 </v>
      </c>
      <c r="BR35" s="140"/>
      <c r="BS35" s="140"/>
      <c r="BT35" s="140"/>
      <c r="BU35" s="140"/>
      <c r="BV35" s="140"/>
      <c r="BW35" s="140"/>
      <c r="BX35" s="140"/>
      <c r="BY35" s="140"/>
      <c r="BZ35" s="140"/>
      <c r="CA35" s="140"/>
      <c r="CB35" s="140"/>
      <c r="CC35" s="140"/>
      <c r="CD35" s="140"/>
      <c r="CE35" s="140"/>
      <c r="CF35" s="140"/>
    </row>
    <row r="36" spans="1:84" ht="12" customHeight="1" outlineLevel="4">
      <c r="A36" s="129"/>
      <c r="B36" s="129"/>
      <c r="C36" s="129">
        <v>5</v>
      </c>
      <c r="D36" s="231" t="s">
        <v>1676</v>
      </c>
      <c r="E36" s="223"/>
      <c r="F36" s="223"/>
      <c r="G36" s="223"/>
      <c r="H36" s="223"/>
      <c r="I36" s="223" t="s">
        <v>1529</v>
      </c>
      <c r="J36" s="223"/>
      <c r="K36" s="223"/>
      <c r="L36" s="223"/>
      <c r="M36" s="223"/>
      <c r="N36" s="223"/>
      <c r="O36" s="223"/>
      <c r="P36" s="132">
        <v>44312</v>
      </c>
      <c r="Q36" s="132">
        <v>44323</v>
      </c>
      <c r="R36" s="225"/>
      <c r="S36" s="226">
        <v>9</v>
      </c>
      <c r="T36" s="226">
        <v>0</v>
      </c>
      <c r="U36" s="226">
        <v>9</v>
      </c>
      <c r="V36" s="226">
        <v>0</v>
      </c>
      <c r="W36" s="224"/>
      <c r="X36" s="224"/>
      <c r="Y36" s="227"/>
      <c r="Z36" s="228">
        <v>0</v>
      </c>
      <c r="AA36" s="226"/>
      <c r="AB36" s="225"/>
      <c r="AC36" s="229"/>
      <c r="AD36" s="230">
        <v>0</v>
      </c>
      <c r="AE36" s="165">
        <v>0</v>
      </c>
      <c r="AF36" s="139"/>
      <c r="AG36" s="140"/>
      <c r="AH36" s="140"/>
      <c r="AI36" s="140"/>
      <c r="AJ36" s="140"/>
      <c r="AK36" s="140"/>
      <c r="AL36" s="140"/>
      <c r="AM36" s="140"/>
      <c r="AN36" s="140"/>
      <c r="AO36" s="140"/>
      <c r="AP36" s="140"/>
      <c r="AQ36" s="140"/>
      <c r="AR36" s="140"/>
      <c r="AS36" s="140"/>
      <c r="AT36" s="140"/>
      <c r="AU36" s="140"/>
      <c r="AV36" s="140" t="str">
        <f>" " &amp; TEXT(AE36,"#0.00%") &amp; " " &amp; "managed DHT 구현 1" &amp; " " &amp; IF(P36="","",TEXT(P36,"M/D-")) &amp; IF(Q36="","",TEXT(Q36,"M/D")) &amp; " "</f>
        <v xml:space="preserve"> 0.00% managed DHT 구현 1 4/26-5/7 </v>
      </c>
      <c r="AW36" s="140"/>
      <c r="AX36" s="140"/>
      <c r="AY36" s="140"/>
      <c r="AZ36" s="140"/>
      <c r="BA36" s="140"/>
      <c r="BB36" s="140"/>
      <c r="BC36" s="140"/>
      <c r="BD36" s="140"/>
      <c r="BE36" s="140"/>
      <c r="BF36" s="140"/>
      <c r="BG36" s="140"/>
      <c r="BH36" s="140"/>
      <c r="BI36" s="140"/>
      <c r="BJ36" s="140"/>
      <c r="BK36" s="140"/>
      <c r="BL36" s="140"/>
      <c r="BM36" s="140"/>
      <c r="BN36" s="140"/>
      <c r="BO36" s="140"/>
      <c r="BP36" s="140"/>
      <c r="BQ36" s="140"/>
      <c r="BR36" s="140"/>
      <c r="BS36" s="140"/>
      <c r="BT36" s="140"/>
      <c r="BU36" s="140"/>
      <c r="BV36" s="140"/>
      <c r="BW36" s="140"/>
      <c r="BX36" s="140"/>
      <c r="BY36" s="140"/>
      <c r="BZ36" s="140"/>
      <c r="CA36" s="140"/>
      <c r="CB36" s="140"/>
      <c r="CC36" s="140"/>
      <c r="CD36" s="140"/>
      <c r="CE36" s="140"/>
      <c r="CF36" s="140"/>
    </row>
    <row r="37" spans="1:84" ht="12" customHeight="1" outlineLevel="4">
      <c r="A37" s="129"/>
      <c r="B37" s="129"/>
      <c r="C37" s="129">
        <v>5</v>
      </c>
      <c r="D37" s="231" t="s">
        <v>1677</v>
      </c>
      <c r="E37" s="223"/>
      <c r="F37" s="223"/>
      <c r="G37" s="223"/>
      <c r="H37" s="223"/>
      <c r="I37" s="223" t="s">
        <v>1530</v>
      </c>
      <c r="J37" s="223"/>
      <c r="K37" s="223"/>
      <c r="L37" s="223"/>
      <c r="M37" s="223"/>
      <c r="N37" s="223"/>
      <c r="O37" s="223"/>
      <c r="P37" s="132">
        <v>44326</v>
      </c>
      <c r="Q37" s="132">
        <v>44337</v>
      </c>
      <c r="R37" s="225"/>
      <c r="S37" s="226">
        <v>9</v>
      </c>
      <c r="T37" s="226">
        <v>0</v>
      </c>
      <c r="U37" s="226">
        <v>9</v>
      </c>
      <c r="V37" s="226">
        <v>0</v>
      </c>
      <c r="W37" s="224"/>
      <c r="X37" s="224"/>
      <c r="Y37" s="227"/>
      <c r="Z37" s="228">
        <v>0</v>
      </c>
      <c r="AA37" s="226"/>
      <c r="AB37" s="225"/>
      <c r="AC37" s="229"/>
      <c r="AD37" s="230">
        <v>0</v>
      </c>
      <c r="AE37" s="165">
        <v>0</v>
      </c>
      <c r="AF37" s="139"/>
      <c r="AG37" s="140"/>
      <c r="AH37" s="140"/>
      <c r="AI37" s="140"/>
      <c r="AJ37" s="140"/>
      <c r="AK37" s="140"/>
      <c r="AL37" s="140"/>
      <c r="AM37" s="140"/>
      <c r="AN37" s="140"/>
      <c r="AO37" s="140"/>
      <c r="AP37" s="140"/>
      <c r="AQ37" s="140"/>
      <c r="AR37" s="140"/>
      <c r="AS37" s="140"/>
      <c r="AT37" s="140"/>
      <c r="AU37" s="140"/>
      <c r="AV37" s="140"/>
      <c r="AW37" s="140"/>
      <c r="AX37" s="140" t="str">
        <f>" " &amp; TEXT(AE37,"#0.00%") &amp; " " &amp; "managed DHT 구현 2" &amp; " " &amp; IF(P37="","",TEXT(P37,"M/D-")) &amp; IF(Q37="","",TEXT(Q37,"M/D")) &amp; " "</f>
        <v xml:space="preserve"> 0.00% managed DHT 구현 2 5/10-5/21 </v>
      </c>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row>
    <row r="38" spans="1:84" ht="12" customHeight="1" outlineLevel="4">
      <c r="A38" s="129"/>
      <c r="B38" s="129"/>
      <c r="C38" s="129">
        <v>5</v>
      </c>
      <c r="D38" s="231" t="s">
        <v>1678</v>
      </c>
      <c r="E38" s="223"/>
      <c r="F38" s="223"/>
      <c r="G38" s="223"/>
      <c r="H38" s="223"/>
      <c r="I38" s="223" t="s">
        <v>1531</v>
      </c>
      <c r="J38" s="223"/>
      <c r="K38" s="223"/>
      <c r="L38" s="223"/>
      <c r="M38" s="223"/>
      <c r="N38" s="223"/>
      <c r="O38" s="223"/>
      <c r="P38" s="132">
        <v>44340</v>
      </c>
      <c r="Q38" s="132">
        <v>44351</v>
      </c>
      <c r="R38" s="225"/>
      <c r="S38" s="226">
        <v>10</v>
      </c>
      <c r="T38" s="226">
        <v>0</v>
      </c>
      <c r="U38" s="226">
        <v>10</v>
      </c>
      <c r="V38" s="226">
        <v>0</v>
      </c>
      <c r="W38" s="224"/>
      <c r="X38" s="224"/>
      <c r="Y38" s="227"/>
      <c r="Z38" s="228">
        <v>0</v>
      </c>
      <c r="AA38" s="226"/>
      <c r="AB38" s="225"/>
      <c r="AC38" s="229"/>
      <c r="AD38" s="230">
        <v>0</v>
      </c>
      <c r="AE38" s="165">
        <v>0</v>
      </c>
      <c r="AF38" s="139"/>
      <c r="AG38" s="140"/>
      <c r="AH38" s="140"/>
      <c r="AI38" s="140"/>
      <c r="AJ38" s="140"/>
      <c r="AK38" s="140"/>
      <c r="AL38" s="140"/>
      <c r="AM38" s="140"/>
      <c r="AN38" s="140"/>
      <c r="AO38" s="140"/>
      <c r="AP38" s="140"/>
      <c r="AQ38" s="140"/>
      <c r="AR38" s="140"/>
      <c r="AS38" s="140"/>
      <c r="AT38" s="140"/>
      <c r="AU38" s="140"/>
      <c r="AV38" s="140"/>
      <c r="AW38" s="140"/>
      <c r="AX38" s="140"/>
      <c r="AY38" s="140"/>
      <c r="AZ38" s="140" t="str">
        <f>" " &amp; TEXT(AE38,"#0.00%") &amp; " " &amp; "managed DHT 구현 3" &amp; " " &amp; IF(P38="","",TEXT(P38,"M/D-")) &amp; IF(Q38="","",TEXT(Q38,"M/D")) &amp; " "</f>
        <v xml:space="preserve"> 0.00% managed DHT 구현 3 5/24-6/4 </v>
      </c>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row>
    <row r="39" spans="1:84" ht="12" customHeight="1" outlineLevel="4">
      <c r="A39" s="129"/>
      <c r="B39" s="129"/>
      <c r="C39" s="129">
        <v>5</v>
      </c>
      <c r="D39" s="231" t="s">
        <v>1679</v>
      </c>
      <c r="E39" s="223"/>
      <c r="F39" s="223"/>
      <c r="G39" s="223"/>
      <c r="H39" s="223"/>
      <c r="I39" s="223" t="s">
        <v>1532</v>
      </c>
      <c r="J39" s="223"/>
      <c r="K39" s="223"/>
      <c r="L39" s="223"/>
      <c r="M39" s="223"/>
      <c r="N39" s="223"/>
      <c r="O39" s="223"/>
      <c r="P39" s="132">
        <v>44354</v>
      </c>
      <c r="Q39" s="132">
        <v>44365</v>
      </c>
      <c r="R39" s="225"/>
      <c r="S39" s="226">
        <v>10</v>
      </c>
      <c r="T39" s="226">
        <v>0</v>
      </c>
      <c r="U39" s="226">
        <v>10</v>
      </c>
      <c r="V39" s="226">
        <v>0</v>
      </c>
      <c r="W39" s="224"/>
      <c r="X39" s="224"/>
      <c r="Y39" s="227"/>
      <c r="Z39" s="228">
        <v>0</v>
      </c>
      <c r="AA39" s="226"/>
      <c r="AB39" s="225"/>
      <c r="AC39" s="229"/>
      <c r="AD39" s="230">
        <v>0</v>
      </c>
      <c r="AE39" s="165">
        <v>0</v>
      </c>
      <c r="AF39" s="139"/>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t="str">
        <f>" " &amp; TEXT(AE39,"#0.00%") &amp; " " &amp; "managed DHT 구현 4" &amp; " " &amp; IF(P39="","",TEXT(P39,"M/D-")) &amp; IF(Q39="","",TEXT(Q39,"M/D")) &amp; " "</f>
        <v xml:space="preserve"> 0.00% managed DHT 구현 4 6/7-6/18 </v>
      </c>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row>
    <row r="40" spans="1:84" ht="12" customHeight="1" outlineLevel="4">
      <c r="A40" s="129"/>
      <c r="B40" s="129"/>
      <c r="C40" s="129">
        <v>5</v>
      </c>
      <c r="D40" s="231" t="s">
        <v>1680</v>
      </c>
      <c r="E40" s="223"/>
      <c r="F40" s="223"/>
      <c r="G40" s="223"/>
      <c r="H40" s="223"/>
      <c r="I40" s="223" t="s">
        <v>1533</v>
      </c>
      <c r="J40" s="223"/>
      <c r="K40" s="223"/>
      <c r="L40" s="223"/>
      <c r="M40" s="223"/>
      <c r="N40" s="223"/>
      <c r="O40" s="223"/>
      <c r="P40" s="132">
        <v>44368</v>
      </c>
      <c r="Q40" s="132">
        <v>44379</v>
      </c>
      <c r="R40" s="225"/>
      <c r="S40" s="226">
        <v>10</v>
      </c>
      <c r="T40" s="226">
        <v>0</v>
      </c>
      <c r="U40" s="226">
        <v>10</v>
      </c>
      <c r="V40" s="226">
        <v>0</v>
      </c>
      <c r="W40" s="224"/>
      <c r="X40" s="224"/>
      <c r="Y40" s="227"/>
      <c r="Z40" s="228">
        <v>0</v>
      </c>
      <c r="AA40" s="226"/>
      <c r="AB40" s="225"/>
      <c r="AC40" s="229"/>
      <c r="AD40" s="230">
        <v>0</v>
      </c>
      <c r="AE40" s="165">
        <v>0</v>
      </c>
      <c r="AF40" s="139"/>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t="str">
        <f>" " &amp; TEXT(AE40,"#0.00%") &amp; " " &amp; "managed DHT 구현 5" &amp; " " &amp; IF(P40="","",TEXT(P40,"M/D-")) &amp; IF(Q40="","",TEXT(Q40,"M/D")) &amp; " "</f>
        <v xml:space="preserve"> 0.00% managed DHT 구현 5 6/21-7/2 </v>
      </c>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row>
    <row r="41" spans="1:84" ht="12" customHeight="1" outlineLevel="4">
      <c r="A41" s="129"/>
      <c r="B41" s="129"/>
      <c r="C41" s="129">
        <v>5</v>
      </c>
      <c r="D41" s="231" t="s">
        <v>1681</v>
      </c>
      <c r="E41" s="223"/>
      <c r="F41" s="223"/>
      <c r="G41" s="223"/>
      <c r="H41" s="223"/>
      <c r="I41" s="223" t="s">
        <v>1534</v>
      </c>
      <c r="J41" s="223"/>
      <c r="K41" s="223"/>
      <c r="L41" s="223"/>
      <c r="M41" s="223"/>
      <c r="N41" s="223"/>
      <c r="O41" s="223"/>
      <c r="P41" s="132">
        <v>44382</v>
      </c>
      <c r="Q41" s="132">
        <v>44393</v>
      </c>
      <c r="R41" s="225"/>
      <c r="S41" s="226">
        <v>10</v>
      </c>
      <c r="T41" s="226">
        <v>0</v>
      </c>
      <c r="U41" s="226">
        <v>10</v>
      </c>
      <c r="V41" s="226">
        <v>0</v>
      </c>
      <c r="W41" s="224"/>
      <c r="X41" s="224"/>
      <c r="Y41" s="227"/>
      <c r="Z41" s="228">
        <v>0</v>
      </c>
      <c r="AA41" s="226"/>
      <c r="AB41" s="225"/>
      <c r="AC41" s="229"/>
      <c r="AD41" s="230">
        <v>0</v>
      </c>
      <c r="AE41" s="165">
        <v>0</v>
      </c>
      <c r="AF41" s="139"/>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t="str">
        <f>" " &amp; TEXT(AE41,"#0.00%") &amp; " " &amp; "managed DHT 구현 6" &amp; " " &amp; IF(P41="","",TEXT(P41,"M/D-")) &amp; IF(Q41="","",TEXT(Q41,"M/D")) &amp; " "</f>
        <v xml:space="preserve"> 0.00% managed DHT 구현 6 7/5-7/16 </v>
      </c>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row>
    <row r="42" spans="1:84" ht="12" customHeight="1" outlineLevel="4">
      <c r="A42" s="129"/>
      <c r="B42" s="129"/>
      <c r="C42" s="129">
        <v>5</v>
      </c>
      <c r="D42" s="231" t="s">
        <v>1682</v>
      </c>
      <c r="E42" s="223"/>
      <c r="F42" s="223"/>
      <c r="G42" s="223"/>
      <c r="H42" s="223"/>
      <c r="I42" s="223" t="s">
        <v>1535</v>
      </c>
      <c r="J42" s="223"/>
      <c r="K42" s="223"/>
      <c r="L42" s="223"/>
      <c r="M42" s="223"/>
      <c r="N42" s="223"/>
      <c r="O42" s="223"/>
      <c r="P42" s="132">
        <v>44396</v>
      </c>
      <c r="Q42" s="132">
        <v>44407</v>
      </c>
      <c r="R42" s="225"/>
      <c r="S42" s="226">
        <v>10</v>
      </c>
      <c r="T42" s="226">
        <v>0</v>
      </c>
      <c r="U42" s="226">
        <v>10</v>
      </c>
      <c r="V42" s="226">
        <v>0</v>
      </c>
      <c r="W42" s="224"/>
      <c r="X42" s="224"/>
      <c r="Y42" s="227"/>
      <c r="Z42" s="228">
        <v>0</v>
      </c>
      <c r="AA42" s="226"/>
      <c r="AB42" s="225"/>
      <c r="AC42" s="229"/>
      <c r="AD42" s="230">
        <v>0</v>
      </c>
      <c r="AE42" s="165">
        <v>0</v>
      </c>
      <c r="AF42" s="139"/>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t="str">
        <f>" " &amp; TEXT(AE42,"#0.00%") &amp; " " &amp; "managed DHT 구현 7" &amp; " " &amp; IF(P42="","",TEXT(P42,"M/D-")) &amp; IF(Q42="","",TEXT(Q42,"M/D")) &amp; " "</f>
        <v xml:space="preserve"> 0.00% managed DHT 구현 7 7/19-7/30 </v>
      </c>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row>
    <row r="43" spans="1:84" ht="12" customHeight="1" outlineLevel="4">
      <c r="A43" s="129"/>
      <c r="B43" s="129"/>
      <c r="C43" s="129">
        <v>5</v>
      </c>
      <c r="D43" s="231" t="s">
        <v>1683</v>
      </c>
      <c r="E43" s="223"/>
      <c r="F43" s="223"/>
      <c r="G43" s="223"/>
      <c r="H43" s="223"/>
      <c r="I43" s="223" t="s">
        <v>1536</v>
      </c>
      <c r="J43" s="223"/>
      <c r="K43" s="223"/>
      <c r="L43" s="223"/>
      <c r="M43" s="223"/>
      <c r="N43" s="223"/>
      <c r="O43" s="223"/>
      <c r="P43" s="132">
        <v>44410</v>
      </c>
      <c r="Q43" s="132">
        <v>44421</v>
      </c>
      <c r="R43" s="225"/>
      <c r="S43" s="226">
        <v>10</v>
      </c>
      <c r="T43" s="226">
        <v>0</v>
      </c>
      <c r="U43" s="226">
        <v>10</v>
      </c>
      <c r="V43" s="226">
        <v>0</v>
      </c>
      <c r="W43" s="224"/>
      <c r="X43" s="224"/>
      <c r="Y43" s="227"/>
      <c r="Z43" s="228">
        <v>0</v>
      </c>
      <c r="AA43" s="226"/>
      <c r="AB43" s="225"/>
      <c r="AC43" s="229"/>
      <c r="AD43" s="230">
        <v>0</v>
      </c>
      <c r="AE43" s="165">
        <v>0</v>
      </c>
      <c r="AF43" s="139"/>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t="str">
        <f>" " &amp; TEXT(AE43,"#0.00%") &amp; " " &amp; "managed DHT 구현 8" &amp; " " &amp; IF(P43="","",TEXT(P43,"M/D-")) &amp; IF(Q43="","",TEXT(Q43,"M/D")) &amp; " "</f>
        <v xml:space="preserve"> 0.00% managed DHT 구현 8 8/2-8/13 </v>
      </c>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row>
    <row r="44" spans="1:84" ht="12" customHeight="1" outlineLevel="4">
      <c r="A44" s="129"/>
      <c r="B44" s="129"/>
      <c r="C44" s="129">
        <v>5</v>
      </c>
      <c r="D44" s="231" t="s">
        <v>1684</v>
      </c>
      <c r="E44" s="223"/>
      <c r="F44" s="223"/>
      <c r="G44" s="223"/>
      <c r="H44" s="223"/>
      <c r="I44" s="223" t="s">
        <v>1537</v>
      </c>
      <c r="J44" s="223"/>
      <c r="K44" s="223"/>
      <c r="L44" s="223"/>
      <c r="M44" s="223"/>
      <c r="N44" s="223"/>
      <c r="O44" s="223"/>
      <c r="P44" s="132">
        <v>44424</v>
      </c>
      <c r="Q44" s="132">
        <v>44435</v>
      </c>
      <c r="R44" s="225"/>
      <c r="S44" s="226">
        <v>10</v>
      </c>
      <c r="T44" s="226">
        <v>0</v>
      </c>
      <c r="U44" s="226">
        <v>10</v>
      </c>
      <c r="V44" s="226">
        <v>0</v>
      </c>
      <c r="W44" s="224"/>
      <c r="X44" s="224"/>
      <c r="Y44" s="227"/>
      <c r="Z44" s="228">
        <v>0</v>
      </c>
      <c r="AA44" s="226"/>
      <c r="AB44" s="225"/>
      <c r="AC44" s="229"/>
      <c r="AD44" s="230">
        <v>0</v>
      </c>
      <c r="AE44" s="165">
        <v>0</v>
      </c>
      <c r="AF44" s="139"/>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t="str">
        <f>" " &amp; TEXT(AE44,"#0.00%") &amp; " " &amp; "managed DHT 구현 9" &amp; " " &amp; IF(P44="","",TEXT(P44,"M/D-")) &amp; IF(Q44="","",TEXT(Q44,"M/D")) &amp; " "</f>
        <v xml:space="preserve"> 0.00% managed DHT 구현 9 8/16-8/27 </v>
      </c>
      <c r="BM44" s="140"/>
      <c r="BN44" s="140"/>
      <c r="BO44" s="140"/>
      <c r="BP44" s="140"/>
      <c r="BQ44" s="140"/>
      <c r="BR44" s="140"/>
      <c r="BS44" s="140"/>
      <c r="BT44" s="140"/>
      <c r="BU44" s="140"/>
      <c r="BV44" s="140"/>
      <c r="BW44" s="140"/>
      <c r="BX44" s="140"/>
      <c r="BY44" s="140"/>
      <c r="BZ44" s="140"/>
      <c r="CA44" s="140"/>
      <c r="CB44" s="140"/>
      <c r="CC44" s="140"/>
      <c r="CD44" s="140"/>
      <c r="CE44" s="140"/>
      <c r="CF44" s="140"/>
    </row>
    <row r="45" spans="1:84" ht="12" customHeight="1" outlineLevel="4">
      <c r="A45" s="129"/>
      <c r="B45" s="129"/>
      <c r="C45" s="129">
        <v>5</v>
      </c>
      <c r="D45" s="231" t="s">
        <v>1685</v>
      </c>
      <c r="E45" s="223"/>
      <c r="F45" s="223"/>
      <c r="G45" s="223"/>
      <c r="H45" s="223"/>
      <c r="I45" s="223" t="s">
        <v>1538</v>
      </c>
      <c r="J45" s="223"/>
      <c r="K45" s="223"/>
      <c r="L45" s="223"/>
      <c r="M45" s="223"/>
      <c r="N45" s="223"/>
      <c r="O45" s="223"/>
      <c r="P45" s="132">
        <v>44438</v>
      </c>
      <c r="Q45" s="132">
        <v>44449</v>
      </c>
      <c r="R45" s="225"/>
      <c r="S45" s="226">
        <v>10</v>
      </c>
      <c r="T45" s="226">
        <v>0</v>
      </c>
      <c r="U45" s="226">
        <v>10</v>
      </c>
      <c r="V45" s="226">
        <v>0</v>
      </c>
      <c r="W45" s="224"/>
      <c r="X45" s="224"/>
      <c r="Y45" s="227"/>
      <c r="Z45" s="228">
        <v>0</v>
      </c>
      <c r="AA45" s="226"/>
      <c r="AB45" s="225"/>
      <c r="AC45" s="229"/>
      <c r="AD45" s="230">
        <v>0</v>
      </c>
      <c r="AE45" s="165">
        <v>0</v>
      </c>
      <c r="AF45" s="139"/>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t="str">
        <f>" " &amp; TEXT(AE45,"#0.00%") &amp; " " &amp; "managed DHT 구현 10" &amp; " " &amp; IF(P45="","",TEXT(P45,"M/D-")) &amp; IF(Q45="","",TEXT(Q45,"M/D")) &amp; " "</f>
        <v xml:space="preserve"> 0.00% managed DHT 구현 10 8/30-9/10 </v>
      </c>
      <c r="BO45" s="140"/>
      <c r="BP45" s="140"/>
      <c r="BQ45" s="140"/>
      <c r="BR45" s="140"/>
      <c r="BS45" s="140"/>
      <c r="BT45" s="140"/>
      <c r="BU45" s="140"/>
      <c r="BV45" s="140"/>
      <c r="BW45" s="140"/>
      <c r="BX45" s="140"/>
      <c r="BY45" s="140"/>
      <c r="BZ45" s="140"/>
      <c r="CA45" s="140"/>
      <c r="CB45" s="140"/>
      <c r="CC45" s="140"/>
      <c r="CD45" s="140"/>
      <c r="CE45" s="140"/>
      <c r="CF45" s="140"/>
    </row>
    <row r="46" spans="1:84" ht="12" customHeight="1" outlineLevel="4">
      <c r="A46" s="129"/>
      <c r="B46" s="129"/>
      <c r="C46" s="129">
        <v>5</v>
      </c>
      <c r="D46" s="231" t="s">
        <v>1686</v>
      </c>
      <c r="E46" s="223"/>
      <c r="F46" s="223"/>
      <c r="G46" s="223"/>
      <c r="H46" s="223"/>
      <c r="I46" s="223" t="s">
        <v>1539</v>
      </c>
      <c r="J46" s="223"/>
      <c r="K46" s="223"/>
      <c r="L46" s="223"/>
      <c r="M46" s="223"/>
      <c r="N46" s="223"/>
      <c r="O46" s="223"/>
      <c r="P46" s="132">
        <v>44452</v>
      </c>
      <c r="Q46" s="132">
        <v>44463</v>
      </c>
      <c r="R46" s="225"/>
      <c r="S46" s="226">
        <v>7</v>
      </c>
      <c r="T46" s="226">
        <v>0</v>
      </c>
      <c r="U46" s="226">
        <v>7</v>
      </c>
      <c r="V46" s="226">
        <v>0</v>
      </c>
      <c r="W46" s="224"/>
      <c r="X46" s="224"/>
      <c r="Y46" s="227"/>
      <c r="Z46" s="228">
        <v>0</v>
      </c>
      <c r="AA46" s="226"/>
      <c r="AB46" s="225"/>
      <c r="AC46" s="229"/>
      <c r="AD46" s="230">
        <v>0</v>
      </c>
      <c r="AE46" s="165">
        <v>0</v>
      </c>
      <c r="AF46" s="139"/>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t="str">
        <f>" " &amp; TEXT(AE46,"#0.00%") &amp; " " &amp; "managed DHT 구현 11" &amp; " " &amp; IF(P46="","",TEXT(P46,"M/D-")) &amp; IF(Q46="","",TEXT(Q46,"M/D")) &amp; " "</f>
        <v xml:space="preserve"> 0.00% managed DHT 구현 11 9/13-9/24 </v>
      </c>
      <c r="BQ46" s="140"/>
      <c r="BR46" s="140"/>
      <c r="BS46" s="140"/>
      <c r="BT46" s="140"/>
      <c r="BU46" s="140"/>
      <c r="BV46" s="140"/>
      <c r="BW46" s="140"/>
      <c r="BX46" s="140"/>
      <c r="BY46" s="140"/>
      <c r="BZ46" s="140"/>
      <c r="CA46" s="140"/>
      <c r="CB46" s="140"/>
      <c r="CC46" s="140"/>
      <c r="CD46" s="140"/>
      <c r="CE46" s="140"/>
      <c r="CF46" s="140"/>
    </row>
    <row r="47" spans="1:84" ht="12" customHeight="1" outlineLevel="3">
      <c r="A47" s="129"/>
      <c r="B47" s="129" t="s">
        <v>1345</v>
      </c>
      <c r="C47" s="129">
        <v>4</v>
      </c>
      <c r="D47" s="206" t="s">
        <v>1516</v>
      </c>
      <c r="E47" s="207"/>
      <c r="F47" s="207"/>
      <c r="G47" s="207"/>
      <c r="H47" s="208" t="s">
        <v>1404</v>
      </c>
      <c r="I47" s="208"/>
      <c r="J47" s="208"/>
      <c r="K47" s="208"/>
      <c r="L47" s="208"/>
      <c r="M47" s="208"/>
      <c r="N47" s="208"/>
      <c r="O47" s="208"/>
      <c r="P47" s="209">
        <v>44466</v>
      </c>
      <c r="Q47" s="209">
        <v>44533</v>
      </c>
      <c r="R47" s="210"/>
      <c r="S47" s="211">
        <v>50</v>
      </c>
      <c r="T47" s="211">
        <v>0</v>
      </c>
      <c r="U47" s="211">
        <v>50</v>
      </c>
      <c r="V47" s="211">
        <v>0</v>
      </c>
      <c r="W47" s="209"/>
      <c r="X47" s="209"/>
      <c r="Y47" s="212">
        <v>0</v>
      </c>
      <c r="Z47" s="213">
        <v>0</v>
      </c>
      <c r="AA47" s="211"/>
      <c r="AB47" s="216" t="s">
        <v>1405</v>
      </c>
      <c r="AC47" s="214"/>
      <c r="AD47" s="215">
        <v>0</v>
      </c>
      <c r="AE47" s="192">
        <v>0</v>
      </c>
      <c r="AF47" s="139"/>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t="str">
        <f>" " &amp; TEXT(AE47,"#0.00%") &amp; " "</f>
        <v xml:space="preserve"> 0.00% </v>
      </c>
      <c r="BS47" s="140"/>
      <c r="BT47" s="140"/>
      <c r="BU47" s="140"/>
      <c r="BV47" s="140"/>
      <c r="BW47" s="140"/>
      <c r="BX47" s="140"/>
      <c r="BY47" s="140"/>
      <c r="BZ47" s="140"/>
      <c r="CA47" s="140" t="str">
        <f>"      " &amp; "기능 테스트 및 디버깅" &amp; "(박세형)" &amp; " " &amp; IF(P47="","",TEXT(P47,"M/D-")) &amp; IF(Q47="","",TEXT(Q47,"M/D")) &amp; " "</f>
        <v xml:space="preserve">      기능 테스트 및 디버깅(박세형) 9/27-12/3 </v>
      </c>
      <c r="CB47" s="140"/>
      <c r="CC47" s="140"/>
      <c r="CD47" s="140"/>
      <c r="CE47" s="140"/>
      <c r="CF47" s="140"/>
    </row>
    <row r="48" spans="1:84" ht="12" customHeight="1" outlineLevel="4">
      <c r="A48" s="129"/>
      <c r="B48" s="129"/>
      <c r="C48" s="129">
        <v>5</v>
      </c>
      <c r="D48" s="231" t="s">
        <v>1687</v>
      </c>
      <c r="E48" s="223"/>
      <c r="F48" s="223"/>
      <c r="G48" s="223"/>
      <c r="H48" s="223"/>
      <c r="I48" s="223" t="s">
        <v>1518</v>
      </c>
      <c r="J48" s="223"/>
      <c r="K48" s="223"/>
      <c r="L48" s="223"/>
      <c r="M48" s="223"/>
      <c r="N48" s="223"/>
      <c r="O48" s="223"/>
      <c r="P48" s="224">
        <v>44466</v>
      </c>
      <c r="Q48" s="224">
        <v>44477</v>
      </c>
      <c r="R48" s="225"/>
      <c r="S48" s="226">
        <v>10</v>
      </c>
      <c r="T48" s="226">
        <v>0</v>
      </c>
      <c r="U48" s="226">
        <v>10</v>
      </c>
      <c r="V48" s="226">
        <v>0</v>
      </c>
      <c r="W48" s="224"/>
      <c r="X48" s="224"/>
      <c r="Y48" s="227"/>
      <c r="Z48" s="228">
        <v>0</v>
      </c>
      <c r="AA48" s="226"/>
      <c r="AB48" s="225"/>
      <c r="AC48" s="229"/>
      <c r="AD48" s="230">
        <v>0</v>
      </c>
      <c r="AE48" s="165">
        <v>0</v>
      </c>
      <c r="AF48" s="139"/>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t="str">
        <f>" " &amp; TEXT(AE48,"#0.00%") &amp; " " &amp; "유닛 테스트 및 디버깅 1" &amp; " " &amp; IF(P48="","",TEXT(P48,"M/D-")) &amp; IF(Q48="","",TEXT(Q48,"M/D")) &amp; " "</f>
        <v xml:space="preserve"> 0.00% 유닛 테스트 및 디버깅 1 9/27-10/8 </v>
      </c>
      <c r="BS48" s="140"/>
      <c r="BT48" s="140"/>
      <c r="BU48" s="140"/>
      <c r="BV48" s="140"/>
      <c r="BW48" s="140"/>
      <c r="BX48" s="140"/>
      <c r="BY48" s="140"/>
      <c r="BZ48" s="140"/>
      <c r="CA48" s="140"/>
      <c r="CB48" s="140"/>
      <c r="CC48" s="140"/>
      <c r="CD48" s="140"/>
      <c r="CE48" s="140"/>
      <c r="CF48" s="140"/>
    </row>
    <row r="49" spans="1:84" ht="12" customHeight="1" outlineLevel="4">
      <c r="A49" s="129"/>
      <c r="B49" s="129"/>
      <c r="C49" s="129">
        <v>5</v>
      </c>
      <c r="D49" s="231" t="s">
        <v>1688</v>
      </c>
      <c r="E49" s="223"/>
      <c r="F49" s="223"/>
      <c r="G49" s="223"/>
      <c r="H49" s="223"/>
      <c r="I49" s="223" t="s">
        <v>1519</v>
      </c>
      <c r="J49" s="223"/>
      <c r="K49" s="223"/>
      <c r="L49" s="223"/>
      <c r="M49" s="223"/>
      <c r="N49" s="223"/>
      <c r="O49" s="223"/>
      <c r="P49" s="224">
        <v>44480</v>
      </c>
      <c r="Q49" s="224">
        <v>44491</v>
      </c>
      <c r="R49" s="225"/>
      <c r="S49" s="226">
        <v>10</v>
      </c>
      <c r="T49" s="226">
        <v>0</v>
      </c>
      <c r="U49" s="226">
        <v>10</v>
      </c>
      <c r="V49" s="226">
        <v>0</v>
      </c>
      <c r="W49" s="224"/>
      <c r="X49" s="224"/>
      <c r="Y49" s="227"/>
      <c r="Z49" s="228">
        <v>0</v>
      </c>
      <c r="AA49" s="226"/>
      <c r="AB49" s="225"/>
      <c r="AC49" s="229"/>
      <c r="AD49" s="230">
        <v>0</v>
      </c>
      <c r="AE49" s="165">
        <v>0</v>
      </c>
      <c r="AF49" s="139"/>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t="str">
        <f>" " &amp; TEXT(AE49,"#0.00%") &amp; " " &amp; "유닛 테스트 및 디버깅 2" &amp; " " &amp; IF(P49="","",TEXT(P49,"M/D-")) &amp; IF(Q49="","",TEXT(Q49,"M/D")) &amp; " "</f>
        <v xml:space="preserve"> 0.00% 유닛 테스트 및 디버깅 2 10/11-10/22 </v>
      </c>
      <c r="BU49" s="140"/>
      <c r="BV49" s="140"/>
      <c r="BW49" s="140"/>
      <c r="BX49" s="140"/>
      <c r="BY49" s="140"/>
      <c r="BZ49" s="140"/>
      <c r="CA49" s="140"/>
      <c r="CB49" s="140"/>
      <c r="CC49" s="140"/>
      <c r="CD49" s="140"/>
      <c r="CE49" s="140"/>
      <c r="CF49" s="140"/>
    </row>
    <row r="50" spans="1:84" ht="12" customHeight="1" outlineLevel="4">
      <c r="A50" s="129"/>
      <c r="B50" s="129"/>
      <c r="C50" s="129">
        <v>5</v>
      </c>
      <c r="D50" s="231" t="s">
        <v>1689</v>
      </c>
      <c r="E50" s="223"/>
      <c r="F50" s="223"/>
      <c r="G50" s="223"/>
      <c r="H50" s="223"/>
      <c r="I50" s="223" t="s">
        <v>1540</v>
      </c>
      <c r="J50" s="223"/>
      <c r="K50" s="223"/>
      <c r="L50" s="223"/>
      <c r="M50" s="223"/>
      <c r="N50" s="223"/>
      <c r="O50" s="223"/>
      <c r="P50" s="224">
        <v>44494</v>
      </c>
      <c r="Q50" s="224">
        <v>44505</v>
      </c>
      <c r="R50" s="225"/>
      <c r="S50" s="226">
        <v>10</v>
      </c>
      <c r="T50" s="226">
        <v>0</v>
      </c>
      <c r="U50" s="226">
        <v>10</v>
      </c>
      <c r="V50" s="226">
        <v>0</v>
      </c>
      <c r="W50" s="224"/>
      <c r="X50" s="224"/>
      <c r="Y50" s="227"/>
      <c r="Z50" s="228">
        <v>0</v>
      </c>
      <c r="AA50" s="226"/>
      <c r="AB50" s="225"/>
      <c r="AC50" s="229"/>
      <c r="AD50" s="230">
        <v>0</v>
      </c>
      <c r="AE50" s="165">
        <v>0</v>
      </c>
      <c r="AF50" s="139"/>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t="str">
        <f>" " &amp; TEXT(AE50,"#0.00%") &amp; " " &amp; "유닛 테스트 및 디버깅 3" &amp; " " &amp; IF(P50="","",TEXT(P50,"M/D-")) &amp; IF(Q50="","",TEXT(Q50,"M/D")) &amp; " "</f>
        <v xml:space="preserve"> 0.00% 유닛 테스트 및 디버깅 3 10/25-11/5 </v>
      </c>
      <c r="BW50" s="140"/>
      <c r="BX50" s="140"/>
      <c r="BY50" s="140"/>
      <c r="BZ50" s="140"/>
      <c r="CA50" s="140"/>
      <c r="CB50" s="140"/>
      <c r="CC50" s="140"/>
      <c r="CD50" s="140"/>
      <c r="CE50" s="140"/>
      <c r="CF50" s="140"/>
    </row>
    <row r="51" spans="1:84" ht="12" customHeight="1" outlineLevel="4">
      <c r="A51" s="129"/>
      <c r="B51" s="129"/>
      <c r="C51" s="129">
        <v>5</v>
      </c>
      <c r="D51" s="231" t="s">
        <v>1690</v>
      </c>
      <c r="E51" s="223"/>
      <c r="F51" s="223"/>
      <c r="G51" s="223"/>
      <c r="H51" s="223"/>
      <c r="I51" s="223" t="s">
        <v>1541</v>
      </c>
      <c r="J51" s="223"/>
      <c r="K51" s="223"/>
      <c r="L51" s="223"/>
      <c r="M51" s="223"/>
      <c r="N51" s="223"/>
      <c r="O51" s="223"/>
      <c r="P51" s="224">
        <v>44508</v>
      </c>
      <c r="Q51" s="224">
        <v>44519</v>
      </c>
      <c r="R51" s="225"/>
      <c r="S51" s="226">
        <v>10</v>
      </c>
      <c r="T51" s="226">
        <v>0</v>
      </c>
      <c r="U51" s="226">
        <v>10</v>
      </c>
      <c r="V51" s="226">
        <v>0</v>
      </c>
      <c r="W51" s="224"/>
      <c r="X51" s="224"/>
      <c r="Y51" s="227"/>
      <c r="Z51" s="228">
        <v>0</v>
      </c>
      <c r="AA51" s="226"/>
      <c r="AB51" s="225"/>
      <c r="AC51" s="229"/>
      <c r="AD51" s="230">
        <v>0</v>
      </c>
      <c r="AE51" s="165">
        <v>0</v>
      </c>
      <c r="AF51" s="139"/>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t="str">
        <f>" " &amp; TEXT(AE51,"#0.00%") &amp; " " &amp; "유닛 테스트 및 디버깅 4" &amp; " " &amp; IF(P51="","",TEXT(P51,"M/D-")) &amp; IF(Q51="","",TEXT(Q51,"M/D")) &amp; " "</f>
        <v xml:space="preserve"> 0.00% 유닛 테스트 및 디버깅 4 11/8-11/19 </v>
      </c>
      <c r="BY51" s="140"/>
      <c r="BZ51" s="140"/>
      <c r="CA51" s="140"/>
      <c r="CB51" s="140"/>
      <c r="CC51" s="140"/>
      <c r="CD51" s="140"/>
      <c r="CE51" s="140"/>
      <c r="CF51" s="140"/>
    </row>
    <row r="52" spans="1:84" ht="12" customHeight="1" outlineLevel="4">
      <c r="A52" s="129"/>
      <c r="B52" s="129"/>
      <c r="C52" s="129">
        <v>5</v>
      </c>
      <c r="D52" s="231" t="s">
        <v>1691</v>
      </c>
      <c r="E52" s="223"/>
      <c r="F52" s="223"/>
      <c r="G52" s="223"/>
      <c r="H52" s="223"/>
      <c r="I52" s="223" t="s">
        <v>1542</v>
      </c>
      <c r="J52" s="223"/>
      <c r="K52" s="223"/>
      <c r="L52" s="223"/>
      <c r="M52" s="223"/>
      <c r="N52" s="223"/>
      <c r="O52" s="223"/>
      <c r="P52" s="224">
        <v>44522</v>
      </c>
      <c r="Q52" s="224">
        <v>44533</v>
      </c>
      <c r="R52" s="225"/>
      <c r="S52" s="226">
        <v>10</v>
      </c>
      <c r="T52" s="226">
        <v>0</v>
      </c>
      <c r="U52" s="226">
        <v>10</v>
      </c>
      <c r="V52" s="226">
        <v>0</v>
      </c>
      <c r="W52" s="224"/>
      <c r="X52" s="224"/>
      <c r="Y52" s="227"/>
      <c r="Z52" s="228">
        <v>0</v>
      </c>
      <c r="AA52" s="226"/>
      <c r="AB52" s="225"/>
      <c r="AC52" s="229"/>
      <c r="AD52" s="230">
        <v>0</v>
      </c>
      <c r="AE52" s="165">
        <v>0</v>
      </c>
      <c r="AF52" s="139"/>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t="str">
        <f>" " &amp; TEXT(AE52,"#0.00%") &amp; " " &amp; "유닛 테스트 및 디버깅 5" &amp; " " &amp; IF(P52="","",TEXT(P52,"M/D-")) &amp; IF(Q52="","",TEXT(Q52,"M/D")) &amp; " "</f>
        <v xml:space="preserve"> 0.00% 유닛 테스트 및 디버깅 5 11/22-12/3 </v>
      </c>
      <c r="CA52" s="140"/>
      <c r="CB52" s="140"/>
      <c r="CC52" s="140"/>
      <c r="CD52" s="140"/>
      <c r="CE52" s="140"/>
      <c r="CF52" s="140"/>
    </row>
    <row r="53" spans="1:84" ht="12" customHeight="1" outlineLevel="3">
      <c r="A53" s="129"/>
      <c r="B53" s="129" t="s">
        <v>1345</v>
      </c>
      <c r="C53" s="129">
        <v>4</v>
      </c>
      <c r="D53" s="206" t="s">
        <v>1517</v>
      </c>
      <c r="E53" s="207"/>
      <c r="F53" s="207"/>
      <c r="G53" s="207"/>
      <c r="H53" s="208" t="s">
        <v>1491</v>
      </c>
      <c r="I53" s="208"/>
      <c r="J53" s="208"/>
      <c r="K53" s="208"/>
      <c r="L53" s="208"/>
      <c r="M53" s="208"/>
      <c r="N53" s="208"/>
      <c r="O53" s="208"/>
      <c r="P53" s="209">
        <v>44508</v>
      </c>
      <c r="Q53" s="209">
        <v>44561</v>
      </c>
      <c r="R53" s="210"/>
      <c r="S53" s="211">
        <v>40</v>
      </c>
      <c r="T53" s="211">
        <v>0</v>
      </c>
      <c r="U53" s="211">
        <v>40</v>
      </c>
      <c r="V53" s="211">
        <v>0</v>
      </c>
      <c r="W53" s="209"/>
      <c r="X53" s="209"/>
      <c r="Y53" s="212">
        <v>0</v>
      </c>
      <c r="Z53" s="213">
        <v>0</v>
      </c>
      <c r="AA53" s="211"/>
      <c r="AB53" s="216" t="s">
        <v>1405</v>
      </c>
      <c r="AC53" s="214"/>
      <c r="AD53" s="215">
        <v>0</v>
      </c>
      <c r="AE53" s="192">
        <v>0</v>
      </c>
      <c r="AF53" s="139"/>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t="str">
        <f>" " &amp; TEXT(AE53,"#0.00%") &amp; " "</f>
        <v xml:space="preserve"> 0.00% </v>
      </c>
      <c r="BY53" s="140"/>
      <c r="BZ53" s="140"/>
      <c r="CA53" s="140"/>
      <c r="CB53" s="140"/>
      <c r="CC53" s="140"/>
      <c r="CD53" s="140"/>
      <c r="CE53" s="140" t="str">
        <f>"      " &amp; "통합 테스트" &amp; "(박세형)" &amp; " " &amp; IF(P53="","",TEXT(P53,"M/D-")) &amp; IF(Q53="","",TEXT(Q53,"M/D")) &amp; " "</f>
        <v xml:space="preserve">      통합 테스트(박세형) 11/8-12/31 </v>
      </c>
      <c r="CF53" s="140"/>
    </row>
    <row r="54" spans="1:84" ht="12" customHeight="1" outlineLevel="4">
      <c r="A54" s="129"/>
      <c r="B54" s="129"/>
      <c r="C54" s="129">
        <v>5</v>
      </c>
      <c r="D54" s="231" t="s">
        <v>1692</v>
      </c>
      <c r="E54" s="223"/>
      <c r="F54" s="223"/>
      <c r="G54" s="223"/>
      <c r="H54" s="223"/>
      <c r="I54" s="223" t="s">
        <v>1543</v>
      </c>
      <c r="J54" s="223"/>
      <c r="K54" s="223"/>
      <c r="L54" s="223"/>
      <c r="M54" s="223"/>
      <c r="N54" s="223"/>
      <c r="O54" s="223"/>
      <c r="P54" s="224">
        <v>44508</v>
      </c>
      <c r="Q54" s="224">
        <v>44519</v>
      </c>
      <c r="R54" s="225"/>
      <c r="S54" s="226">
        <v>10</v>
      </c>
      <c r="T54" s="226">
        <v>0</v>
      </c>
      <c r="U54" s="226">
        <v>10</v>
      </c>
      <c r="V54" s="226">
        <v>0</v>
      </c>
      <c r="W54" s="224"/>
      <c r="X54" s="224"/>
      <c r="Y54" s="227"/>
      <c r="Z54" s="228">
        <v>0</v>
      </c>
      <c r="AA54" s="226"/>
      <c r="AB54" s="225"/>
      <c r="AC54" s="229"/>
      <c r="AD54" s="230">
        <v>0</v>
      </c>
      <c r="AE54" s="165">
        <v>0</v>
      </c>
      <c r="AF54" s="139"/>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t="str">
        <f>" " &amp; TEXT(AE54,"#0.00%") &amp; " " &amp; "연동 테스트 1" &amp; " " &amp; IF(P54="","",TEXT(P54,"M/D-")) &amp; IF(Q54="","",TEXT(Q54,"M/D")) &amp; " "</f>
        <v xml:space="preserve"> 0.00% 연동 테스트 1 11/8-11/19 </v>
      </c>
      <c r="BY54" s="140"/>
      <c r="BZ54" s="140"/>
      <c r="CA54" s="140"/>
      <c r="CB54" s="140"/>
      <c r="CC54" s="140"/>
      <c r="CD54" s="140"/>
      <c r="CE54" s="140"/>
      <c r="CF54" s="140"/>
    </row>
    <row r="55" spans="1:84" ht="12" customHeight="1" outlineLevel="4">
      <c r="A55" s="129"/>
      <c r="B55" s="129"/>
      <c r="C55" s="129">
        <v>5</v>
      </c>
      <c r="D55" s="231" t="s">
        <v>1693</v>
      </c>
      <c r="E55" s="223"/>
      <c r="F55" s="223"/>
      <c r="G55" s="223"/>
      <c r="H55" s="223"/>
      <c r="I55" s="223" t="s">
        <v>1545</v>
      </c>
      <c r="J55" s="223"/>
      <c r="K55" s="223"/>
      <c r="L55" s="223"/>
      <c r="M55" s="223"/>
      <c r="N55" s="223"/>
      <c r="O55" s="223"/>
      <c r="P55" s="224">
        <v>44522</v>
      </c>
      <c r="Q55" s="224">
        <v>44533</v>
      </c>
      <c r="R55" s="225"/>
      <c r="S55" s="226">
        <v>10</v>
      </c>
      <c r="T55" s="226">
        <v>0</v>
      </c>
      <c r="U55" s="226">
        <v>10</v>
      </c>
      <c r="V55" s="226">
        <v>0</v>
      </c>
      <c r="W55" s="224"/>
      <c r="X55" s="224"/>
      <c r="Y55" s="227"/>
      <c r="Z55" s="228">
        <v>0</v>
      </c>
      <c r="AA55" s="226"/>
      <c r="AB55" s="225"/>
      <c r="AC55" s="229"/>
      <c r="AD55" s="230">
        <v>0</v>
      </c>
      <c r="AE55" s="165">
        <v>0</v>
      </c>
      <c r="AF55" s="139"/>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t="str">
        <f>" " &amp; TEXT(AE55,"#0.00%") &amp; " " &amp; "코드 안정화 1" &amp; " " &amp; IF(P55="","",TEXT(P55,"M/D-")) &amp; IF(Q55="","",TEXT(Q55,"M/D")) &amp; " "</f>
        <v xml:space="preserve"> 0.00% 코드 안정화 1 11/22-12/3 </v>
      </c>
      <c r="CA55" s="140"/>
      <c r="CB55" s="140"/>
      <c r="CC55" s="140"/>
      <c r="CD55" s="140"/>
      <c r="CE55" s="140"/>
      <c r="CF55" s="140"/>
    </row>
    <row r="56" spans="1:84" ht="12" customHeight="1" outlineLevel="4">
      <c r="A56" s="129"/>
      <c r="B56" s="129"/>
      <c r="C56" s="129">
        <v>5</v>
      </c>
      <c r="D56" s="231" t="s">
        <v>1694</v>
      </c>
      <c r="E56" s="223"/>
      <c r="F56" s="223"/>
      <c r="G56" s="223"/>
      <c r="H56" s="223"/>
      <c r="I56" s="223" t="s">
        <v>1546</v>
      </c>
      <c r="J56" s="223"/>
      <c r="K56" s="223"/>
      <c r="L56" s="223"/>
      <c r="M56" s="223"/>
      <c r="N56" s="223"/>
      <c r="O56" s="223"/>
      <c r="P56" s="224">
        <v>44536</v>
      </c>
      <c r="Q56" s="224">
        <v>44547</v>
      </c>
      <c r="R56" s="225"/>
      <c r="S56" s="226">
        <v>10</v>
      </c>
      <c r="T56" s="226">
        <v>0</v>
      </c>
      <c r="U56" s="226">
        <v>10</v>
      </c>
      <c r="V56" s="226">
        <v>0</v>
      </c>
      <c r="W56" s="224"/>
      <c r="X56" s="224"/>
      <c r="Y56" s="227"/>
      <c r="Z56" s="228">
        <v>0</v>
      </c>
      <c r="AA56" s="226"/>
      <c r="AB56" s="225"/>
      <c r="AC56" s="229"/>
      <c r="AD56" s="230">
        <v>0</v>
      </c>
      <c r="AE56" s="165">
        <v>0</v>
      </c>
      <c r="AF56" s="139"/>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t="str">
        <f>" " &amp; TEXT(AE56,"#0.00%") &amp; " " &amp; "코드 안정화 2" &amp; " " &amp; IF(P56="","",TEXT(P56,"M/D-")) &amp; IF(Q56="","",TEXT(Q56,"M/D")) &amp; " "</f>
        <v xml:space="preserve"> 0.00% 코드 안정화 2 12/6-12/17 </v>
      </c>
      <c r="CC56" s="140"/>
      <c r="CD56" s="140"/>
      <c r="CE56" s="140"/>
      <c r="CF56" s="140"/>
    </row>
    <row r="57" spans="1:84" ht="12" customHeight="1" outlineLevel="4">
      <c r="A57" s="129"/>
      <c r="B57" s="129"/>
      <c r="C57" s="129">
        <v>5</v>
      </c>
      <c r="D57" s="231" t="s">
        <v>1695</v>
      </c>
      <c r="E57" s="223"/>
      <c r="F57" s="223"/>
      <c r="G57" s="223"/>
      <c r="H57" s="223"/>
      <c r="I57" s="223" t="s">
        <v>1547</v>
      </c>
      <c r="J57" s="223"/>
      <c r="K57" s="223"/>
      <c r="L57" s="223"/>
      <c r="M57" s="223"/>
      <c r="N57" s="223"/>
      <c r="O57" s="223"/>
      <c r="P57" s="224">
        <v>44550</v>
      </c>
      <c r="Q57" s="224">
        <v>44561</v>
      </c>
      <c r="R57" s="225"/>
      <c r="S57" s="226">
        <v>10</v>
      </c>
      <c r="T57" s="226">
        <v>0</v>
      </c>
      <c r="U57" s="226">
        <v>10</v>
      </c>
      <c r="V57" s="226">
        <v>0</v>
      </c>
      <c r="W57" s="224"/>
      <c r="X57" s="224"/>
      <c r="Y57" s="227"/>
      <c r="Z57" s="228">
        <v>0</v>
      </c>
      <c r="AA57" s="226"/>
      <c r="AB57" s="225"/>
      <c r="AC57" s="229"/>
      <c r="AD57" s="230">
        <v>0</v>
      </c>
      <c r="AE57" s="165">
        <v>0</v>
      </c>
      <c r="AF57" s="139"/>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c r="BM57" s="140"/>
      <c r="BN57" s="140"/>
      <c r="BO57" s="140"/>
      <c r="BP57" s="140"/>
      <c r="BQ57" s="140"/>
      <c r="BR57" s="140"/>
      <c r="BS57" s="140"/>
      <c r="BT57" s="140"/>
      <c r="BU57" s="140"/>
      <c r="BV57" s="140"/>
      <c r="BW57" s="140"/>
      <c r="BX57" s="140"/>
      <c r="BY57" s="140"/>
      <c r="BZ57" s="140"/>
      <c r="CA57" s="140"/>
      <c r="CB57" s="140"/>
      <c r="CC57" s="140"/>
      <c r="CD57" s="140" t="str">
        <f>" " &amp; TEXT(AE57,"#0.00%") &amp; " " &amp; "코드 안정화 3" &amp; " " &amp; IF(P57="","",TEXT(P57,"M/D-")) &amp; IF(Q57="","",TEXT(Q57,"M/D")) &amp; " "</f>
        <v xml:space="preserve"> 0.00% 코드 안정화 3 12/20-12/31 </v>
      </c>
      <c r="CE57" s="140"/>
      <c r="CF57" s="140"/>
    </row>
    <row r="58" spans="1:84" ht="12" customHeight="1" outlineLevel="2">
      <c r="A58" s="129"/>
      <c r="B58" s="129" t="s">
        <v>1345</v>
      </c>
      <c r="C58" s="129">
        <v>3</v>
      </c>
      <c r="D58" s="130" t="s">
        <v>1073</v>
      </c>
      <c r="E58" s="131"/>
      <c r="F58" s="131"/>
      <c r="G58" s="131" t="s">
        <v>1386</v>
      </c>
      <c r="H58" s="131"/>
      <c r="I58" s="131"/>
      <c r="J58" s="131"/>
      <c r="K58" s="131"/>
      <c r="L58" s="131"/>
      <c r="M58" s="131"/>
      <c r="N58" s="131"/>
      <c r="O58" s="131"/>
      <c r="P58" s="132">
        <v>44200</v>
      </c>
      <c r="Q58" s="132">
        <v>44561</v>
      </c>
      <c r="R58" s="133"/>
      <c r="S58" s="134">
        <v>447</v>
      </c>
      <c r="T58" s="134">
        <v>26</v>
      </c>
      <c r="U58" s="134">
        <v>252</v>
      </c>
      <c r="V58" s="134">
        <v>26</v>
      </c>
      <c r="W58" s="132"/>
      <c r="X58" s="132"/>
      <c r="Y58" s="135">
        <v>0</v>
      </c>
      <c r="Z58" s="136">
        <v>0</v>
      </c>
      <c r="AA58" s="134"/>
      <c r="AB58" s="133" t="s">
        <v>1410</v>
      </c>
      <c r="AC58" s="137"/>
      <c r="AD58" s="138">
        <v>5.8165548098434001E-2</v>
      </c>
      <c r="AE58" s="194">
        <v>0</v>
      </c>
      <c r="AF58" s="139" t="str">
        <f>" " &amp; TEXT(AE58,"#0.00%") &amp; " "</f>
        <v xml:space="preserve"> 0.00% </v>
      </c>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t="str">
        <f>"      " &amp; "KeyValue Store 개선" &amp; "(신용윤)" &amp; " " &amp; IF(P58="","",TEXT(P58,"M/D-")) &amp; IF(Q58="","",TEXT(Q58,"M/D")) &amp; " "</f>
        <v xml:space="preserve">      KeyValue Store 개선(신용윤) 1/4-12/31 </v>
      </c>
      <c r="CF58" s="140"/>
    </row>
    <row r="59" spans="1:84" ht="12" customHeight="1" outlineLevel="3">
      <c r="A59" s="129"/>
      <c r="B59" s="129" t="s">
        <v>1345</v>
      </c>
      <c r="C59" s="129">
        <v>4</v>
      </c>
      <c r="D59" s="206" t="s">
        <v>1426</v>
      </c>
      <c r="E59" s="207"/>
      <c r="F59" s="207"/>
      <c r="G59" s="207"/>
      <c r="H59" s="207" t="s">
        <v>1392</v>
      </c>
      <c r="I59" s="207"/>
      <c r="J59" s="207"/>
      <c r="K59" s="207"/>
      <c r="L59" s="207"/>
      <c r="M59" s="207"/>
      <c r="N59" s="207"/>
      <c r="O59" s="207"/>
      <c r="P59" s="217">
        <v>44200</v>
      </c>
      <c r="Q59" s="217">
        <v>44379</v>
      </c>
      <c r="R59" s="216"/>
      <c r="S59" s="218">
        <v>96</v>
      </c>
      <c r="T59" s="218">
        <v>26</v>
      </c>
      <c r="U59" s="218">
        <v>125</v>
      </c>
      <c r="V59" s="218">
        <v>26</v>
      </c>
      <c r="W59" s="217"/>
      <c r="X59" s="217"/>
      <c r="Y59" s="219">
        <v>0</v>
      </c>
      <c r="Z59" s="220">
        <v>0</v>
      </c>
      <c r="AA59" s="218"/>
      <c r="AB59" s="216" t="s">
        <v>1410</v>
      </c>
      <c r="AC59" s="221" t="s">
        <v>1417</v>
      </c>
      <c r="AD59" s="222">
        <v>0.27083333333333331</v>
      </c>
      <c r="AE59" s="194">
        <v>0</v>
      </c>
      <c r="AF59" s="139" t="str">
        <f>" " &amp; TEXT(AE59,"#0.00%") &amp; " "</f>
        <v xml:space="preserve"> 0.00% </v>
      </c>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t="str">
        <f>"      " &amp; "기능 정의 및 설계" &amp; "(신용윤)" &amp; " " &amp; IF(P59="","",TEXT(P59,"M/D-")) &amp; IF(Q59="","",TEXT(Q59,"M/D")) &amp; " "</f>
        <v xml:space="preserve">      기능 정의 및 설계(신용윤) 1/4-7/2 </v>
      </c>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row>
    <row r="60" spans="1:84" ht="12" customHeight="1" outlineLevel="4">
      <c r="A60" s="129"/>
      <c r="B60" s="129"/>
      <c r="C60" s="129">
        <v>5</v>
      </c>
      <c r="D60" s="231" t="s">
        <v>1696</v>
      </c>
      <c r="E60" s="223"/>
      <c r="F60" s="223"/>
      <c r="G60" s="223"/>
      <c r="H60" s="223"/>
      <c r="I60" s="223" t="s">
        <v>1525</v>
      </c>
      <c r="J60" s="223"/>
      <c r="K60" s="223"/>
      <c r="L60" s="223"/>
      <c r="M60" s="223"/>
      <c r="N60" s="223"/>
      <c r="O60" s="223"/>
      <c r="P60" s="132">
        <v>44200</v>
      </c>
      <c r="Q60" s="132">
        <v>44211</v>
      </c>
      <c r="R60" s="225"/>
      <c r="S60" s="226">
        <v>10</v>
      </c>
      <c r="T60" s="226">
        <v>10</v>
      </c>
      <c r="U60" s="226">
        <v>10</v>
      </c>
      <c r="V60" s="226">
        <v>10</v>
      </c>
      <c r="W60" s="224"/>
      <c r="X60" s="224"/>
      <c r="Y60" s="227"/>
      <c r="Z60" s="228">
        <v>0</v>
      </c>
      <c r="AA60" s="226"/>
      <c r="AB60" s="225"/>
      <c r="AC60" s="229"/>
      <c r="AD60" s="230">
        <v>1</v>
      </c>
      <c r="AE60" s="193">
        <v>0</v>
      </c>
      <c r="AF60" s="139" t="str">
        <f>" " &amp; TEXT(AE60,"#0.00%") &amp; " " &amp; "필수 기능 정의 1" &amp; " " &amp; IF(P60="","",TEXT(P60,"M/D-")) &amp; IF(Q60="","",TEXT(Q60,"M/D")) &amp; " "</f>
        <v xml:space="preserve"> 0.00% 필수 기능 정의 1 1/4-1/15 </v>
      </c>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row>
    <row r="61" spans="1:84" ht="12" customHeight="1" outlineLevel="4">
      <c r="A61" s="129"/>
      <c r="B61" s="129"/>
      <c r="C61" s="129">
        <v>5</v>
      </c>
      <c r="D61" s="231" t="s">
        <v>1697</v>
      </c>
      <c r="E61" s="223"/>
      <c r="F61" s="223"/>
      <c r="G61" s="223"/>
      <c r="H61" s="223"/>
      <c r="I61" s="223" t="s">
        <v>1526</v>
      </c>
      <c r="J61" s="223"/>
      <c r="K61" s="223"/>
      <c r="L61" s="223"/>
      <c r="M61" s="223"/>
      <c r="N61" s="223"/>
      <c r="O61" s="223"/>
      <c r="P61" s="132">
        <v>44214</v>
      </c>
      <c r="Q61" s="132">
        <v>44225</v>
      </c>
      <c r="R61" s="225"/>
      <c r="S61" s="226">
        <v>10</v>
      </c>
      <c r="T61" s="226">
        <v>10</v>
      </c>
      <c r="U61" s="226">
        <v>10</v>
      </c>
      <c r="V61" s="226">
        <v>10</v>
      </c>
      <c r="W61" s="224"/>
      <c r="X61" s="224"/>
      <c r="Y61" s="227"/>
      <c r="Z61" s="228">
        <v>0</v>
      </c>
      <c r="AA61" s="226"/>
      <c r="AB61" s="225"/>
      <c r="AC61" s="229"/>
      <c r="AD61" s="230">
        <v>1</v>
      </c>
      <c r="AE61" s="193">
        <v>0</v>
      </c>
      <c r="AF61" s="139"/>
      <c r="AG61" s="140"/>
      <c r="AH61" s="140" t="str">
        <f>" " &amp; TEXT(AE61,"#0.00%") &amp; " " &amp; "필수 기능 정의 2" &amp; " " &amp; IF(P61="","",TEXT(P61,"M/D-")) &amp; IF(Q61="","",TEXT(Q61,"M/D")) &amp; " "</f>
        <v xml:space="preserve"> 0.00% 필수 기능 정의 2 1/18-1/29 </v>
      </c>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row>
    <row r="62" spans="1:84" ht="12" customHeight="1" outlineLevel="4">
      <c r="A62" s="129"/>
      <c r="B62" s="129"/>
      <c r="C62" s="129">
        <v>5</v>
      </c>
      <c r="D62" s="231" t="s">
        <v>1698</v>
      </c>
      <c r="E62" s="223"/>
      <c r="F62" s="223"/>
      <c r="G62" s="223"/>
      <c r="H62" s="223"/>
      <c r="I62" s="223" t="s">
        <v>1548</v>
      </c>
      <c r="J62" s="223"/>
      <c r="K62" s="223"/>
      <c r="L62" s="223"/>
      <c r="M62" s="223"/>
      <c r="N62" s="223"/>
      <c r="O62" s="223"/>
      <c r="P62" s="132">
        <v>44228</v>
      </c>
      <c r="Q62" s="132">
        <v>44239</v>
      </c>
      <c r="R62" s="225"/>
      <c r="S62" s="226">
        <v>8</v>
      </c>
      <c r="T62" s="226">
        <v>6</v>
      </c>
      <c r="U62" s="226">
        <v>8</v>
      </c>
      <c r="V62" s="226">
        <v>6</v>
      </c>
      <c r="W62" s="224"/>
      <c r="X62" s="224"/>
      <c r="Y62" s="227"/>
      <c r="Z62" s="228">
        <v>0</v>
      </c>
      <c r="AA62" s="226"/>
      <c r="AB62" s="225"/>
      <c r="AC62" s="229"/>
      <c r="AD62" s="230">
        <v>0.75</v>
      </c>
      <c r="AE62" s="193">
        <v>0</v>
      </c>
      <c r="AF62" s="139"/>
      <c r="AG62" s="140"/>
      <c r="AH62" s="140"/>
      <c r="AI62" s="140"/>
      <c r="AJ62" s="140" t="str">
        <f>" " &amp; TEXT(AE62,"#0.00%") &amp; " " &amp; "필수 기능 정의 3" &amp; " " &amp; IF(P62="","",TEXT(P62,"M/D-")) &amp; IF(Q62="","",TEXT(Q62,"M/D")) &amp; " "</f>
        <v xml:space="preserve"> 0.00% 필수 기능 정의 3 2/1-2/12 </v>
      </c>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row>
    <row r="63" spans="1:84" ht="12" customHeight="1" outlineLevel="4">
      <c r="A63" s="129"/>
      <c r="B63" s="129"/>
      <c r="C63" s="129">
        <v>5</v>
      </c>
      <c r="D63" s="231" t="s">
        <v>1699</v>
      </c>
      <c r="E63" s="223"/>
      <c r="F63" s="223"/>
      <c r="G63" s="223"/>
      <c r="H63" s="223"/>
      <c r="I63" s="223" t="s">
        <v>1549</v>
      </c>
      <c r="J63" s="223"/>
      <c r="K63" s="223"/>
      <c r="L63" s="223"/>
      <c r="M63" s="223"/>
      <c r="N63" s="223"/>
      <c r="O63" s="223"/>
      <c r="P63" s="132">
        <v>44242</v>
      </c>
      <c r="Q63" s="132">
        <v>44253</v>
      </c>
      <c r="R63" s="225"/>
      <c r="S63" s="226">
        <v>10</v>
      </c>
      <c r="T63" s="226">
        <v>0</v>
      </c>
      <c r="U63" s="226">
        <v>10</v>
      </c>
      <c r="V63" s="226">
        <v>0</v>
      </c>
      <c r="W63" s="224"/>
      <c r="X63" s="224"/>
      <c r="Y63" s="227"/>
      <c r="Z63" s="228">
        <v>0</v>
      </c>
      <c r="AA63" s="226"/>
      <c r="AB63" s="225"/>
      <c r="AC63" s="229"/>
      <c r="AD63" s="230">
        <v>0</v>
      </c>
      <c r="AE63" s="165">
        <v>0</v>
      </c>
      <c r="AF63" s="139"/>
      <c r="AG63" s="140"/>
      <c r="AH63" s="140"/>
      <c r="AI63" s="140"/>
      <c r="AJ63" s="140"/>
      <c r="AK63" s="140"/>
      <c r="AL63" s="140" t="str">
        <f>" " &amp; TEXT(AE63,"#0.00%") &amp; " " &amp; "필수 기능 정의 4" &amp; " " &amp; IF(P63="","",TEXT(P63,"M/D-")) &amp; IF(Q63="","",TEXT(Q63,"M/D")) &amp; " "</f>
        <v xml:space="preserve"> 0.00% 필수 기능 정의 4 2/15-2/26 </v>
      </c>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row>
    <row r="64" spans="1:84" ht="12" customHeight="1" outlineLevel="4">
      <c r="A64" s="129"/>
      <c r="B64" s="129"/>
      <c r="C64" s="129">
        <v>5</v>
      </c>
      <c r="D64" s="231" t="s">
        <v>1700</v>
      </c>
      <c r="E64" s="223"/>
      <c r="F64" s="223"/>
      <c r="G64" s="223"/>
      <c r="H64" s="223"/>
      <c r="I64" s="223" t="s">
        <v>1550</v>
      </c>
      <c r="J64" s="223"/>
      <c r="K64" s="223"/>
      <c r="L64" s="223"/>
      <c r="M64" s="223"/>
      <c r="N64" s="223"/>
      <c r="O64" s="223"/>
      <c r="P64" s="132">
        <v>44256</v>
      </c>
      <c r="Q64" s="132">
        <v>44267</v>
      </c>
      <c r="R64" s="225"/>
      <c r="S64" s="226">
        <v>9</v>
      </c>
      <c r="T64" s="226">
        <v>0</v>
      </c>
      <c r="U64" s="226">
        <v>9</v>
      </c>
      <c r="V64" s="226">
        <v>0</v>
      </c>
      <c r="W64" s="224"/>
      <c r="X64" s="224"/>
      <c r="Y64" s="227"/>
      <c r="Z64" s="228">
        <v>0</v>
      </c>
      <c r="AA64" s="226"/>
      <c r="AB64" s="225"/>
      <c r="AC64" s="229"/>
      <c r="AD64" s="230">
        <v>0</v>
      </c>
      <c r="AE64" s="165">
        <v>0</v>
      </c>
      <c r="AF64" s="139"/>
      <c r="AG64" s="140"/>
      <c r="AH64" s="140"/>
      <c r="AI64" s="140"/>
      <c r="AJ64" s="140"/>
      <c r="AK64" s="140"/>
      <c r="AL64" s="140"/>
      <c r="AM64" s="140"/>
      <c r="AN64" s="140" t="str">
        <f>" " &amp; TEXT(AE64,"#0.00%") &amp; " " &amp; "KeyValue Store 기능 설계 1" &amp; " " &amp; IF(P64="","",TEXT(P64,"M/D-")) &amp; IF(Q64="","",TEXT(Q64,"M/D")) &amp; " "</f>
        <v xml:space="preserve"> 0.00% KeyValue Store 기능 설계 1 3/1-3/12 </v>
      </c>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row>
    <row r="65" spans="1:84" ht="12" customHeight="1" outlineLevel="4">
      <c r="A65" s="129"/>
      <c r="B65" s="129"/>
      <c r="C65" s="129">
        <v>5</v>
      </c>
      <c r="D65" s="231" t="s">
        <v>1701</v>
      </c>
      <c r="E65" s="223"/>
      <c r="F65" s="223"/>
      <c r="G65" s="223"/>
      <c r="H65" s="223"/>
      <c r="I65" s="223" t="s">
        <v>1553</v>
      </c>
      <c r="J65" s="223"/>
      <c r="K65" s="223"/>
      <c r="L65" s="223"/>
      <c r="M65" s="223"/>
      <c r="N65" s="223"/>
      <c r="O65" s="223"/>
      <c r="P65" s="132">
        <v>44270</v>
      </c>
      <c r="Q65" s="132">
        <v>44281</v>
      </c>
      <c r="R65" s="225"/>
      <c r="S65" s="226">
        <v>10</v>
      </c>
      <c r="T65" s="226">
        <v>0</v>
      </c>
      <c r="U65" s="226">
        <v>10</v>
      </c>
      <c r="V65" s="226">
        <v>0</v>
      </c>
      <c r="W65" s="224"/>
      <c r="X65" s="224"/>
      <c r="Y65" s="227"/>
      <c r="Z65" s="228">
        <v>0</v>
      </c>
      <c r="AA65" s="226"/>
      <c r="AB65" s="225"/>
      <c r="AC65" s="229"/>
      <c r="AD65" s="230">
        <v>0</v>
      </c>
      <c r="AE65" s="165">
        <v>0</v>
      </c>
      <c r="AF65" s="139"/>
      <c r="AG65" s="140"/>
      <c r="AH65" s="140"/>
      <c r="AI65" s="140"/>
      <c r="AJ65" s="140"/>
      <c r="AK65" s="140"/>
      <c r="AL65" s="140"/>
      <c r="AM65" s="140"/>
      <c r="AN65" s="140"/>
      <c r="AO65" s="140"/>
      <c r="AP65" s="140" t="str">
        <f>" " &amp; TEXT(AE65,"#0.00%") &amp; " " &amp; "KeyValue Store 기능 설계 2" &amp; " " &amp; IF(P65="","",TEXT(P65,"M/D-")) &amp; IF(Q65="","",TEXT(Q65,"M/D")) &amp; " "</f>
        <v xml:space="preserve"> 0.00% KeyValue Store 기능 설계 2 3/15-3/26 </v>
      </c>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row>
    <row r="66" spans="1:84" ht="12" customHeight="1" outlineLevel="4">
      <c r="A66" s="129"/>
      <c r="B66" s="129"/>
      <c r="C66" s="129">
        <v>5</v>
      </c>
      <c r="D66" s="231" t="s">
        <v>1702</v>
      </c>
      <c r="E66" s="223"/>
      <c r="F66" s="223"/>
      <c r="G66" s="223"/>
      <c r="H66" s="223"/>
      <c r="I66" s="223" t="s">
        <v>1551</v>
      </c>
      <c r="J66" s="223"/>
      <c r="K66" s="223"/>
      <c r="L66" s="223"/>
      <c r="M66" s="223"/>
      <c r="N66" s="223"/>
      <c r="O66" s="223"/>
      <c r="P66" s="132">
        <v>44256</v>
      </c>
      <c r="Q66" s="132">
        <v>44267</v>
      </c>
      <c r="R66" s="225"/>
      <c r="S66" s="226">
        <v>9</v>
      </c>
      <c r="T66" s="226">
        <v>0</v>
      </c>
      <c r="U66" s="226">
        <v>9</v>
      </c>
      <c r="V66" s="226">
        <v>0</v>
      </c>
      <c r="W66" s="224"/>
      <c r="X66" s="224"/>
      <c r="Y66" s="227"/>
      <c r="Z66" s="228">
        <v>0</v>
      </c>
      <c r="AA66" s="226"/>
      <c r="AB66" s="225"/>
      <c r="AC66" s="229"/>
      <c r="AD66" s="230">
        <v>0</v>
      </c>
      <c r="AE66" s="165">
        <v>0</v>
      </c>
      <c r="AF66" s="139"/>
      <c r="AG66" s="140"/>
      <c r="AH66" s="140"/>
      <c r="AI66" s="140"/>
      <c r="AJ66" s="140"/>
      <c r="AK66" s="140"/>
      <c r="AL66" s="140"/>
      <c r="AM66" s="140"/>
      <c r="AN66" s="140" t="str">
        <f>" " &amp; TEXT(AE66,"#0.00%") &amp; " " &amp; "command 체계 일원화 설계 1" &amp; " " &amp; IF(P66="","",TEXT(P66,"M/D-")) &amp; IF(Q66="","",TEXT(Q66,"M/D")) &amp; " "</f>
        <v xml:space="preserve"> 0.00% command 체계 일원화 설계 1 3/1-3/12 </v>
      </c>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row>
    <row r="67" spans="1:84" ht="12" customHeight="1" outlineLevel="4">
      <c r="A67" s="129"/>
      <c r="B67" s="129"/>
      <c r="C67" s="129">
        <v>5</v>
      </c>
      <c r="D67" s="231" t="s">
        <v>1703</v>
      </c>
      <c r="E67" s="223"/>
      <c r="F67" s="223"/>
      <c r="G67" s="223"/>
      <c r="H67" s="223"/>
      <c r="I67" s="223" t="s">
        <v>1554</v>
      </c>
      <c r="J67" s="223"/>
      <c r="K67" s="223"/>
      <c r="L67" s="223"/>
      <c r="M67" s="223"/>
      <c r="N67" s="223"/>
      <c r="O67" s="223"/>
      <c r="P67" s="132">
        <v>44270</v>
      </c>
      <c r="Q67" s="132">
        <v>44281</v>
      </c>
      <c r="R67" s="225"/>
      <c r="S67" s="226">
        <v>10</v>
      </c>
      <c r="T67" s="226">
        <v>0</v>
      </c>
      <c r="U67" s="226">
        <v>10</v>
      </c>
      <c r="V67" s="226">
        <v>0</v>
      </c>
      <c r="W67" s="224"/>
      <c r="X67" s="224"/>
      <c r="Y67" s="227"/>
      <c r="Z67" s="228">
        <v>0</v>
      </c>
      <c r="AA67" s="226"/>
      <c r="AB67" s="225"/>
      <c r="AC67" s="229"/>
      <c r="AD67" s="230">
        <v>0</v>
      </c>
      <c r="AE67" s="165">
        <v>0</v>
      </c>
      <c r="AF67" s="139"/>
      <c r="AG67" s="140"/>
      <c r="AH67" s="140"/>
      <c r="AI67" s="140"/>
      <c r="AJ67" s="140"/>
      <c r="AK67" s="140"/>
      <c r="AL67" s="140"/>
      <c r="AM67" s="140"/>
      <c r="AN67" s="140"/>
      <c r="AO67" s="140"/>
      <c r="AP67" s="140" t="str">
        <f>" " &amp; TEXT(AE67,"#0.00%") &amp; " " &amp; "command 체계 일원화 설계 2" &amp; " " &amp; IF(P67="","",TEXT(P67,"M/D-")) &amp; IF(Q67="","",TEXT(Q67,"M/D")) &amp; " "</f>
        <v xml:space="preserve"> 0.00% command 체계 일원화 설계 2 3/15-3/26 </v>
      </c>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row>
    <row r="68" spans="1:84" ht="12" customHeight="1" outlineLevel="4">
      <c r="A68" s="129"/>
      <c r="B68" s="129"/>
      <c r="C68" s="129">
        <v>5</v>
      </c>
      <c r="D68" s="231" t="s">
        <v>1704</v>
      </c>
      <c r="E68" s="223"/>
      <c r="F68" s="223"/>
      <c r="G68" s="223"/>
      <c r="H68" s="223"/>
      <c r="I68" s="223" t="s">
        <v>1552</v>
      </c>
      <c r="J68" s="223"/>
      <c r="K68" s="223"/>
      <c r="L68" s="223"/>
      <c r="M68" s="223"/>
      <c r="N68" s="223"/>
      <c r="O68" s="223"/>
      <c r="P68" s="132">
        <v>44354</v>
      </c>
      <c r="Q68" s="132">
        <v>44365</v>
      </c>
      <c r="R68" s="225"/>
      <c r="S68" s="226">
        <v>10</v>
      </c>
      <c r="T68" s="226">
        <v>0</v>
      </c>
      <c r="U68" s="226">
        <v>10</v>
      </c>
      <c r="V68" s="226">
        <v>0</v>
      </c>
      <c r="W68" s="224"/>
      <c r="X68" s="224"/>
      <c r="Y68" s="227"/>
      <c r="Z68" s="228">
        <v>0</v>
      </c>
      <c r="AA68" s="226"/>
      <c r="AB68" s="225"/>
      <c r="AC68" s="229"/>
      <c r="AD68" s="230">
        <v>0</v>
      </c>
      <c r="AE68" s="165">
        <v>0</v>
      </c>
      <c r="AF68" s="139"/>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t="str">
        <f>" " &amp; TEXT(AE68,"#0.00%") &amp; " " &amp; "모니터링 인터페이스 설계 1" &amp; " " &amp; IF(P68="","",TEXT(P68,"M/D-")) &amp; IF(Q68="","",TEXT(Q68,"M/D")) &amp; " "</f>
        <v xml:space="preserve"> 0.00% 모니터링 인터페이스 설계 1 6/7-6/18 </v>
      </c>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row>
    <row r="69" spans="1:84" ht="12" customHeight="1" outlineLevel="4">
      <c r="A69" s="129"/>
      <c r="B69" s="129"/>
      <c r="C69" s="129">
        <v>5</v>
      </c>
      <c r="D69" s="231" t="s">
        <v>1705</v>
      </c>
      <c r="E69" s="223"/>
      <c r="F69" s="223"/>
      <c r="G69" s="223"/>
      <c r="H69" s="223"/>
      <c r="I69" s="223" t="s">
        <v>1555</v>
      </c>
      <c r="J69" s="223"/>
      <c r="K69" s="223"/>
      <c r="L69" s="223"/>
      <c r="M69" s="223"/>
      <c r="N69" s="223"/>
      <c r="O69" s="223"/>
      <c r="P69" s="132">
        <v>44368</v>
      </c>
      <c r="Q69" s="132">
        <v>44379</v>
      </c>
      <c r="R69" s="225"/>
      <c r="S69" s="226">
        <v>10</v>
      </c>
      <c r="T69" s="226">
        <v>0</v>
      </c>
      <c r="U69" s="226">
        <v>10</v>
      </c>
      <c r="V69" s="226">
        <v>0</v>
      </c>
      <c r="W69" s="224"/>
      <c r="X69" s="224"/>
      <c r="Y69" s="227"/>
      <c r="Z69" s="228">
        <v>0</v>
      </c>
      <c r="AA69" s="226"/>
      <c r="AB69" s="225"/>
      <c r="AC69" s="229"/>
      <c r="AD69" s="230">
        <v>0</v>
      </c>
      <c r="AE69" s="165">
        <v>0</v>
      </c>
      <c r="AF69" s="139"/>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t="str">
        <f>" " &amp; TEXT(AE69,"#0.00%") &amp; " " &amp; "모니터링 인터페이스 설계 2" &amp; " " &amp; IF(P69="","",TEXT(P69,"M/D-")) &amp; IF(Q69="","",TEXT(Q69,"M/D")) &amp; " "</f>
        <v xml:space="preserve"> 0.00% 모니터링 인터페이스 설계 2 6/21-7/2 </v>
      </c>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row>
    <row r="70" spans="1:84" ht="12" customHeight="1" outlineLevel="3">
      <c r="A70" s="129"/>
      <c r="B70" s="129" t="s">
        <v>1345</v>
      </c>
      <c r="C70" s="129">
        <v>4</v>
      </c>
      <c r="D70" s="206" t="s">
        <v>1520</v>
      </c>
      <c r="E70" s="207"/>
      <c r="F70" s="207"/>
      <c r="G70" s="207"/>
      <c r="H70" s="207" t="s">
        <v>1403</v>
      </c>
      <c r="I70" s="207"/>
      <c r="J70" s="207"/>
      <c r="K70" s="207"/>
      <c r="L70" s="207"/>
      <c r="M70" s="207"/>
      <c r="N70" s="207"/>
      <c r="O70" s="207"/>
      <c r="P70" s="217">
        <v>44284</v>
      </c>
      <c r="Q70" s="217">
        <v>44407</v>
      </c>
      <c r="R70" s="216"/>
      <c r="S70" s="218">
        <v>224</v>
      </c>
      <c r="T70" s="218">
        <v>0</v>
      </c>
      <c r="U70" s="218">
        <v>88</v>
      </c>
      <c r="V70" s="218">
        <v>0</v>
      </c>
      <c r="W70" s="217"/>
      <c r="X70" s="217"/>
      <c r="Y70" s="219">
        <v>0</v>
      </c>
      <c r="Z70" s="220">
        <v>0</v>
      </c>
      <c r="AA70" s="218"/>
      <c r="AB70" s="216" t="s">
        <v>1410</v>
      </c>
      <c r="AC70" s="221" t="s">
        <v>1418</v>
      </c>
      <c r="AD70" s="222">
        <v>0</v>
      </c>
      <c r="AE70" s="192">
        <v>0</v>
      </c>
      <c r="AF70" s="139"/>
      <c r="AG70" s="140"/>
      <c r="AH70" s="140"/>
      <c r="AI70" s="140"/>
      <c r="AJ70" s="140"/>
      <c r="AK70" s="140"/>
      <c r="AL70" s="140"/>
      <c r="AM70" s="140"/>
      <c r="AN70" s="140"/>
      <c r="AO70" s="140"/>
      <c r="AP70" s="140"/>
      <c r="AQ70" s="140"/>
      <c r="AR70" s="140" t="str">
        <f>" " &amp; TEXT(AE70,"#0.00%") &amp; " "</f>
        <v xml:space="preserve"> 0.00% </v>
      </c>
      <c r="AS70" s="140"/>
      <c r="AT70" s="140"/>
      <c r="AU70" s="140"/>
      <c r="AV70" s="140"/>
      <c r="AW70" s="140"/>
      <c r="AX70" s="140"/>
      <c r="AY70" s="140"/>
      <c r="AZ70" s="140"/>
      <c r="BA70" s="140"/>
      <c r="BB70" s="140"/>
      <c r="BC70" s="140"/>
      <c r="BD70" s="140"/>
      <c r="BE70" s="140"/>
      <c r="BF70" s="140"/>
      <c r="BG70" s="140"/>
      <c r="BH70" s="140"/>
      <c r="BI70" s="140" t="str">
        <f>"      " &amp; "기능 구현" &amp; "(신용윤)" &amp; " " &amp; IF(P70="","",TEXT(P70,"M/D-")) &amp; IF(Q70="","",TEXT(Q70,"M/D")) &amp; " "</f>
        <v xml:space="preserve">      기능 구현(신용윤) 3/29-7/30 </v>
      </c>
      <c r="BJ70" s="140"/>
      <c r="BK70" s="140"/>
      <c r="BL70" s="140"/>
      <c r="BM70" s="140"/>
      <c r="BN70" s="140"/>
      <c r="BO70" s="140"/>
      <c r="BP70" s="140"/>
      <c r="BQ70" s="140"/>
      <c r="BR70" s="140"/>
      <c r="BS70" s="140"/>
      <c r="BT70" s="140"/>
      <c r="BU70" s="140"/>
      <c r="BV70" s="140"/>
      <c r="BW70" s="140"/>
      <c r="BX70" s="140"/>
      <c r="BY70" s="140"/>
      <c r="BZ70" s="140"/>
      <c r="CA70" s="140"/>
      <c r="CB70" s="140"/>
      <c r="CC70" s="140"/>
      <c r="CD70" s="140"/>
      <c r="CE70" s="140"/>
      <c r="CF70" s="140"/>
    </row>
    <row r="71" spans="1:84" ht="12" customHeight="1" outlineLevel="4">
      <c r="A71" s="129"/>
      <c r="B71" s="129"/>
      <c r="C71" s="129">
        <v>5</v>
      </c>
      <c r="D71" s="231" t="s">
        <v>1706</v>
      </c>
      <c r="E71" s="223"/>
      <c r="F71" s="223"/>
      <c r="G71" s="223"/>
      <c r="H71" s="223"/>
      <c r="I71" s="223" t="s">
        <v>1556</v>
      </c>
      <c r="J71" s="223"/>
      <c r="K71" s="223"/>
      <c r="L71" s="223"/>
      <c r="M71" s="223"/>
      <c r="N71" s="223"/>
      <c r="O71" s="223"/>
      <c r="P71" s="132">
        <v>44284</v>
      </c>
      <c r="Q71" s="132">
        <v>44295</v>
      </c>
      <c r="R71" s="225"/>
      <c r="S71" s="226">
        <v>10</v>
      </c>
      <c r="T71" s="226">
        <v>0</v>
      </c>
      <c r="U71" s="226">
        <v>10</v>
      </c>
      <c r="V71" s="226">
        <v>0</v>
      </c>
      <c r="W71" s="224"/>
      <c r="X71" s="224"/>
      <c r="Y71" s="227"/>
      <c r="Z71" s="228">
        <v>0</v>
      </c>
      <c r="AA71" s="226"/>
      <c r="AB71" s="225"/>
      <c r="AC71" s="229"/>
      <c r="AD71" s="230">
        <v>0</v>
      </c>
      <c r="AE71" s="165">
        <v>0</v>
      </c>
      <c r="AF71" s="139"/>
      <c r="AG71" s="140"/>
      <c r="AH71" s="140"/>
      <c r="AI71" s="140"/>
      <c r="AJ71" s="140"/>
      <c r="AK71" s="140"/>
      <c r="AL71" s="140"/>
      <c r="AM71" s="140"/>
      <c r="AN71" s="140"/>
      <c r="AO71" s="140"/>
      <c r="AP71" s="140"/>
      <c r="AQ71" s="140"/>
      <c r="AR71" s="140" t="str">
        <f>" " &amp; TEXT(AE71,"#0.00%") &amp; " " &amp; "nosql 적용 구현 1" &amp; " " &amp; IF(P71="","",TEXT(P71,"M/D-")) &amp; IF(Q71="","",TEXT(Q71,"M/D")) &amp; " "</f>
        <v xml:space="preserve"> 0.00% nosql 적용 구현 1 3/29-4/9 </v>
      </c>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c r="BS71" s="140"/>
      <c r="BT71" s="140"/>
      <c r="BU71" s="140"/>
      <c r="BV71" s="140"/>
      <c r="BW71" s="140"/>
      <c r="BX71" s="140"/>
      <c r="BY71" s="140"/>
      <c r="BZ71" s="140"/>
      <c r="CA71" s="140"/>
      <c r="CB71" s="140"/>
      <c r="CC71" s="140"/>
      <c r="CD71" s="140"/>
      <c r="CE71" s="140"/>
      <c r="CF71" s="140"/>
    </row>
    <row r="72" spans="1:84" ht="12" customHeight="1" outlineLevel="4">
      <c r="A72" s="129"/>
      <c r="B72" s="129"/>
      <c r="C72" s="129">
        <v>5</v>
      </c>
      <c r="D72" s="231" t="s">
        <v>1707</v>
      </c>
      <c r="E72" s="223"/>
      <c r="F72" s="223"/>
      <c r="G72" s="223"/>
      <c r="H72" s="223"/>
      <c r="I72" s="223" t="s">
        <v>1557</v>
      </c>
      <c r="J72" s="223"/>
      <c r="K72" s="223"/>
      <c r="L72" s="223"/>
      <c r="M72" s="223"/>
      <c r="N72" s="223"/>
      <c r="O72" s="223"/>
      <c r="P72" s="132">
        <v>44298</v>
      </c>
      <c r="Q72" s="132">
        <v>44309</v>
      </c>
      <c r="R72" s="225"/>
      <c r="S72" s="226">
        <v>10</v>
      </c>
      <c r="T72" s="226">
        <v>0</v>
      </c>
      <c r="U72" s="226">
        <v>10</v>
      </c>
      <c r="V72" s="226">
        <v>0</v>
      </c>
      <c r="W72" s="224"/>
      <c r="X72" s="224"/>
      <c r="Y72" s="227"/>
      <c r="Z72" s="228">
        <v>0</v>
      </c>
      <c r="AA72" s="226"/>
      <c r="AB72" s="225"/>
      <c r="AC72" s="229"/>
      <c r="AD72" s="230">
        <v>0</v>
      </c>
      <c r="AE72" s="165">
        <v>0</v>
      </c>
      <c r="AF72" s="139"/>
      <c r="AG72" s="140"/>
      <c r="AH72" s="140"/>
      <c r="AI72" s="140"/>
      <c r="AJ72" s="140"/>
      <c r="AK72" s="140"/>
      <c r="AL72" s="140"/>
      <c r="AM72" s="140"/>
      <c r="AN72" s="140"/>
      <c r="AO72" s="140"/>
      <c r="AP72" s="140"/>
      <c r="AQ72" s="140"/>
      <c r="AR72" s="140"/>
      <c r="AS72" s="140"/>
      <c r="AT72" s="140" t="str">
        <f>" " &amp; TEXT(AE72,"#0.00%") &amp; " " &amp; "nosql 적용 구현 2" &amp; " " &amp; IF(P72="","",TEXT(P72,"M/D-")) &amp; IF(Q72="","",TEXT(Q72,"M/D")) &amp; " "</f>
        <v xml:space="preserve"> 0.00% nosql 적용 구현 2 4/12-4/23 </v>
      </c>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row>
    <row r="73" spans="1:84" ht="12" customHeight="1" outlineLevel="4">
      <c r="A73" s="129"/>
      <c r="B73" s="129"/>
      <c r="C73" s="129">
        <v>5</v>
      </c>
      <c r="D73" s="231" t="s">
        <v>1708</v>
      </c>
      <c r="E73" s="223"/>
      <c r="F73" s="223"/>
      <c r="G73" s="223"/>
      <c r="H73" s="223"/>
      <c r="I73" s="223" t="s">
        <v>1558</v>
      </c>
      <c r="J73" s="223"/>
      <c r="K73" s="223"/>
      <c r="L73" s="223"/>
      <c r="M73" s="223"/>
      <c r="N73" s="223"/>
      <c r="O73" s="223"/>
      <c r="P73" s="132">
        <v>44312</v>
      </c>
      <c r="Q73" s="132">
        <v>44323</v>
      </c>
      <c r="R73" s="225"/>
      <c r="S73" s="226">
        <v>9</v>
      </c>
      <c r="T73" s="226">
        <v>0</v>
      </c>
      <c r="U73" s="226">
        <v>9</v>
      </c>
      <c r="V73" s="226">
        <v>0</v>
      </c>
      <c r="W73" s="224"/>
      <c r="X73" s="224"/>
      <c r="Y73" s="227"/>
      <c r="Z73" s="228">
        <v>0</v>
      </c>
      <c r="AA73" s="226"/>
      <c r="AB73" s="225"/>
      <c r="AC73" s="229"/>
      <c r="AD73" s="230">
        <v>0</v>
      </c>
      <c r="AE73" s="165">
        <v>0</v>
      </c>
      <c r="AF73" s="139"/>
      <c r="AG73" s="140"/>
      <c r="AH73" s="140"/>
      <c r="AI73" s="140"/>
      <c r="AJ73" s="140"/>
      <c r="AK73" s="140"/>
      <c r="AL73" s="140"/>
      <c r="AM73" s="140"/>
      <c r="AN73" s="140"/>
      <c r="AO73" s="140"/>
      <c r="AP73" s="140"/>
      <c r="AQ73" s="140"/>
      <c r="AR73" s="140"/>
      <c r="AS73" s="140"/>
      <c r="AT73" s="140"/>
      <c r="AU73" s="140"/>
      <c r="AV73" s="140" t="str">
        <f>" " &amp; TEXT(AE73,"#0.00%") &amp; " " &amp; "nosql 적용 구현 3" &amp; " " &amp; IF(P73="","",TEXT(P73,"M/D-")) &amp; IF(Q73="","",TEXT(Q73,"M/D")) &amp; " "</f>
        <v xml:space="preserve"> 0.00% nosql 적용 구현 3 4/26-5/7 </v>
      </c>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row>
    <row r="74" spans="1:84" ht="12" customHeight="1" outlineLevel="4">
      <c r="A74" s="129"/>
      <c r="B74" s="129"/>
      <c r="C74" s="129">
        <v>5</v>
      </c>
      <c r="D74" s="231" t="s">
        <v>1709</v>
      </c>
      <c r="E74" s="223"/>
      <c r="F74" s="223"/>
      <c r="G74" s="223"/>
      <c r="H74" s="223"/>
      <c r="I74" s="223" t="s">
        <v>1559</v>
      </c>
      <c r="J74" s="223"/>
      <c r="K74" s="223"/>
      <c r="L74" s="223"/>
      <c r="M74" s="223"/>
      <c r="N74" s="223"/>
      <c r="O74" s="223"/>
      <c r="P74" s="132">
        <v>44326</v>
      </c>
      <c r="Q74" s="132">
        <v>44337</v>
      </c>
      <c r="R74" s="225"/>
      <c r="S74" s="226">
        <v>9</v>
      </c>
      <c r="T74" s="226">
        <v>0</v>
      </c>
      <c r="U74" s="226">
        <v>9</v>
      </c>
      <c r="V74" s="226">
        <v>0</v>
      </c>
      <c r="W74" s="224"/>
      <c r="X74" s="224"/>
      <c r="Y74" s="227"/>
      <c r="Z74" s="228">
        <v>0</v>
      </c>
      <c r="AA74" s="226"/>
      <c r="AB74" s="225"/>
      <c r="AC74" s="229"/>
      <c r="AD74" s="230">
        <v>0</v>
      </c>
      <c r="AE74" s="165">
        <v>0</v>
      </c>
      <c r="AF74" s="139"/>
      <c r="AG74" s="140"/>
      <c r="AH74" s="140"/>
      <c r="AI74" s="140"/>
      <c r="AJ74" s="140"/>
      <c r="AK74" s="140"/>
      <c r="AL74" s="140"/>
      <c r="AM74" s="140"/>
      <c r="AN74" s="140"/>
      <c r="AO74" s="140"/>
      <c r="AP74" s="140"/>
      <c r="AQ74" s="140"/>
      <c r="AR74" s="140"/>
      <c r="AS74" s="140"/>
      <c r="AT74" s="140"/>
      <c r="AU74" s="140"/>
      <c r="AV74" s="140"/>
      <c r="AW74" s="140"/>
      <c r="AX74" s="140" t="str">
        <f>" " &amp; TEXT(AE74,"#0.00%") &amp; " " &amp; "nosql 적용 구현 4" &amp; " " &amp; IF(P74="","",TEXT(P74,"M/D-")) &amp; IF(Q74="","",TEXT(Q74,"M/D")) &amp; " "</f>
        <v xml:space="preserve"> 0.00% nosql 적용 구현 4 5/10-5/21 </v>
      </c>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row>
    <row r="75" spans="1:84" ht="12" customHeight="1" outlineLevel="4">
      <c r="A75" s="129"/>
      <c r="B75" s="129"/>
      <c r="C75" s="129">
        <v>5</v>
      </c>
      <c r="D75" s="231" t="s">
        <v>1710</v>
      </c>
      <c r="E75" s="223"/>
      <c r="F75" s="223"/>
      <c r="G75" s="223"/>
      <c r="H75" s="223"/>
      <c r="I75" s="223" t="s">
        <v>1560</v>
      </c>
      <c r="J75" s="223"/>
      <c r="K75" s="223"/>
      <c r="L75" s="223"/>
      <c r="M75" s="223"/>
      <c r="N75" s="223"/>
      <c r="O75" s="223"/>
      <c r="P75" s="132">
        <v>44340</v>
      </c>
      <c r="Q75" s="132">
        <v>44351</v>
      </c>
      <c r="R75" s="225"/>
      <c r="S75" s="226">
        <v>10</v>
      </c>
      <c r="T75" s="226">
        <v>0</v>
      </c>
      <c r="U75" s="226">
        <v>10</v>
      </c>
      <c r="V75" s="226">
        <v>0</v>
      </c>
      <c r="W75" s="224"/>
      <c r="X75" s="224"/>
      <c r="Y75" s="227"/>
      <c r="Z75" s="228">
        <v>0</v>
      </c>
      <c r="AA75" s="226"/>
      <c r="AB75" s="225"/>
      <c r="AC75" s="229"/>
      <c r="AD75" s="230">
        <v>0</v>
      </c>
      <c r="AE75" s="165">
        <v>0</v>
      </c>
      <c r="AF75" s="139"/>
      <c r="AG75" s="140"/>
      <c r="AH75" s="140"/>
      <c r="AI75" s="140"/>
      <c r="AJ75" s="140"/>
      <c r="AK75" s="140"/>
      <c r="AL75" s="140"/>
      <c r="AM75" s="140"/>
      <c r="AN75" s="140"/>
      <c r="AO75" s="140"/>
      <c r="AP75" s="140"/>
      <c r="AQ75" s="140"/>
      <c r="AR75" s="140"/>
      <c r="AS75" s="140"/>
      <c r="AT75" s="140"/>
      <c r="AU75" s="140"/>
      <c r="AV75" s="140"/>
      <c r="AW75" s="140"/>
      <c r="AX75" s="140"/>
      <c r="AY75" s="140"/>
      <c r="AZ75" s="140" t="str">
        <f>" " &amp; TEXT(AE75,"#0.00%") &amp; " " &amp; "nosql 적용 구현 5" &amp; " " &amp; IF(P75="","",TEXT(P75,"M/D-")) &amp; IF(Q75="","",TEXT(Q75,"M/D")) &amp; " "</f>
        <v xml:space="preserve"> 0.00% nosql 적용 구현 5 5/24-6/4 </v>
      </c>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row>
    <row r="76" spans="1:84" ht="12" customHeight="1" outlineLevel="4">
      <c r="A76" s="129"/>
      <c r="B76" s="129"/>
      <c r="C76" s="129">
        <v>5</v>
      </c>
      <c r="D76" s="231" t="s">
        <v>1711</v>
      </c>
      <c r="E76" s="223"/>
      <c r="F76" s="223"/>
      <c r="G76" s="223"/>
      <c r="H76" s="223"/>
      <c r="I76" s="223" t="s">
        <v>1561</v>
      </c>
      <c r="J76" s="223"/>
      <c r="K76" s="223"/>
      <c r="L76" s="223"/>
      <c r="M76" s="223"/>
      <c r="N76" s="223"/>
      <c r="O76" s="223"/>
      <c r="P76" s="132">
        <v>44354</v>
      </c>
      <c r="Q76" s="132">
        <v>44365</v>
      </c>
      <c r="R76" s="225"/>
      <c r="S76" s="226">
        <v>10</v>
      </c>
      <c r="T76" s="226">
        <v>0</v>
      </c>
      <c r="U76" s="226">
        <v>10</v>
      </c>
      <c r="V76" s="226">
        <v>0</v>
      </c>
      <c r="W76" s="224"/>
      <c r="X76" s="224"/>
      <c r="Y76" s="227"/>
      <c r="Z76" s="228">
        <v>0</v>
      </c>
      <c r="AA76" s="226"/>
      <c r="AB76" s="225"/>
      <c r="AC76" s="229"/>
      <c r="AD76" s="230">
        <v>0</v>
      </c>
      <c r="AE76" s="165">
        <v>0</v>
      </c>
      <c r="AF76" s="139"/>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t="str">
        <f>" " &amp; TEXT(AE76,"#0.00%") &amp; " " &amp; "nosql 적용 구현 6" &amp; " " &amp; IF(P76="","",TEXT(P76,"M/D-")) &amp; IF(Q76="","",TEXT(Q76,"M/D")) &amp; " "</f>
        <v xml:space="preserve"> 0.00% nosql 적용 구현 6 6/7-6/18 </v>
      </c>
      <c r="BC76" s="140"/>
      <c r="BD76" s="140"/>
      <c r="BE76" s="140"/>
      <c r="BF76" s="140"/>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row>
    <row r="77" spans="1:84" ht="12" customHeight="1" outlineLevel="4">
      <c r="A77" s="129"/>
      <c r="B77" s="129"/>
      <c r="C77" s="129">
        <v>5</v>
      </c>
      <c r="D77" s="231" t="s">
        <v>1712</v>
      </c>
      <c r="E77" s="223"/>
      <c r="F77" s="223"/>
      <c r="G77" s="223"/>
      <c r="H77" s="223"/>
      <c r="I77" s="223" t="s">
        <v>1562</v>
      </c>
      <c r="J77" s="223"/>
      <c r="K77" s="223"/>
      <c r="L77" s="223"/>
      <c r="M77" s="223"/>
      <c r="N77" s="223"/>
      <c r="O77" s="223"/>
      <c r="P77" s="132">
        <v>44368</v>
      </c>
      <c r="Q77" s="132">
        <v>44379</v>
      </c>
      <c r="R77" s="225"/>
      <c r="S77" s="226">
        <v>10</v>
      </c>
      <c r="T77" s="226">
        <v>0</v>
      </c>
      <c r="U77" s="226">
        <v>10</v>
      </c>
      <c r="V77" s="226">
        <v>0</v>
      </c>
      <c r="W77" s="224"/>
      <c r="X77" s="224"/>
      <c r="Y77" s="227"/>
      <c r="Z77" s="228">
        <v>0</v>
      </c>
      <c r="AA77" s="226"/>
      <c r="AB77" s="225"/>
      <c r="AC77" s="229"/>
      <c r="AD77" s="230">
        <v>0</v>
      </c>
      <c r="AE77" s="165">
        <v>0</v>
      </c>
      <c r="AF77" s="139"/>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c r="BC77" s="140"/>
      <c r="BD77" s="140" t="str">
        <f>" " &amp; TEXT(AE77,"#0.00%") &amp; " " &amp; "nosql 적용 구현 7" &amp; " " &amp; IF(P77="","",TEXT(P77,"M/D-")) &amp; IF(Q77="","",TEXT(Q77,"M/D")) &amp; " "</f>
        <v xml:space="preserve"> 0.00% nosql 적용 구현 7 6/21-7/2 </v>
      </c>
      <c r="BE77" s="140"/>
      <c r="BF77" s="140"/>
      <c r="BG77" s="140"/>
      <c r="BH77" s="140"/>
      <c r="BI77" s="140"/>
      <c r="BJ77" s="140"/>
      <c r="BK77" s="140"/>
      <c r="BL77" s="140"/>
      <c r="BM77" s="140"/>
      <c r="BN77" s="140"/>
      <c r="BO77" s="140"/>
      <c r="BP77" s="140"/>
      <c r="BQ77" s="140"/>
      <c r="BR77" s="140"/>
      <c r="BS77" s="140"/>
      <c r="BT77" s="140"/>
      <c r="BU77" s="140"/>
      <c r="BV77" s="140"/>
      <c r="BW77" s="140"/>
      <c r="BX77" s="140"/>
      <c r="BY77" s="140"/>
      <c r="BZ77" s="140"/>
      <c r="CA77" s="140"/>
      <c r="CB77" s="140"/>
      <c r="CC77" s="140"/>
      <c r="CD77" s="140"/>
      <c r="CE77" s="140"/>
      <c r="CF77" s="140"/>
    </row>
    <row r="78" spans="1:84" ht="12" customHeight="1" outlineLevel="4">
      <c r="A78" s="129"/>
      <c r="B78" s="129"/>
      <c r="C78" s="129">
        <v>5</v>
      </c>
      <c r="D78" s="231" t="s">
        <v>1713</v>
      </c>
      <c r="E78" s="223"/>
      <c r="F78" s="223"/>
      <c r="G78" s="223"/>
      <c r="H78" s="223"/>
      <c r="I78" s="223" t="s">
        <v>1563</v>
      </c>
      <c r="J78" s="223"/>
      <c r="K78" s="223"/>
      <c r="L78" s="223"/>
      <c r="M78" s="223"/>
      <c r="N78" s="223"/>
      <c r="O78" s="223"/>
      <c r="P78" s="132">
        <v>44284</v>
      </c>
      <c r="Q78" s="132">
        <v>44295</v>
      </c>
      <c r="R78" s="225"/>
      <c r="S78" s="226">
        <v>10</v>
      </c>
      <c r="T78" s="226">
        <v>0</v>
      </c>
      <c r="U78" s="226">
        <v>10</v>
      </c>
      <c r="V78" s="226">
        <v>0</v>
      </c>
      <c r="W78" s="224"/>
      <c r="X78" s="224"/>
      <c r="Y78" s="227"/>
      <c r="Z78" s="228">
        <v>0</v>
      </c>
      <c r="AA78" s="226"/>
      <c r="AB78" s="225"/>
      <c r="AC78" s="229"/>
      <c r="AD78" s="230">
        <v>0</v>
      </c>
      <c r="AE78" s="165">
        <v>0</v>
      </c>
      <c r="AF78" s="139"/>
      <c r="AG78" s="140"/>
      <c r="AH78" s="140"/>
      <c r="AI78" s="140"/>
      <c r="AJ78" s="140"/>
      <c r="AK78" s="140"/>
      <c r="AL78" s="140"/>
      <c r="AM78" s="140"/>
      <c r="AN78" s="140"/>
      <c r="AO78" s="140"/>
      <c r="AP78" s="140"/>
      <c r="AQ78" s="140"/>
      <c r="AR78" s="140" t="str">
        <f>" " &amp; TEXT(AE78,"#0.00%") &amp; " " &amp; "ForwardingHint 적용 구현 1" &amp; " " &amp; IF(P78="","",TEXT(P78,"M/D-")) &amp; IF(Q78="","",TEXT(Q78,"M/D")) &amp; " "</f>
        <v xml:space="preserve"> 0.00% ForwardingHint 적용 구현 1 3/29-4/9 </v>
      </c>
      <c r="AS78" s="140"/>
      <c r="AT78" s="140"/>
      <c r="AU78" s="140"/>
      <c r="AV78" s="140"/>
      <c r="AW78" s="140"/>
      <c r="AX78" s="140"/>
      <c r="AY78" s="140"/>
      <c r="AZ78" s="140"/>
      <c r="BA78" s="140"/>
      <c r="BB78" s="140"/>
      <c r="BC78" s="140"/>
      <c r="BD78" s="140"/>
      <c r="BE78" s="140"/>
      <c r="BF78" s="140"/>
      <c r="BG78" s="140"/>
      <c r="BH78" s="140"/>
      <c r="BI78" s="140"/>
      <c r="BJ78" s="140"/>
      <c r="BK78" s="140"/>
      <c r="BL78" s="140"/>
      <c r="BM78" s="140"/>
      <c r="BN78" s="140"/>
      <c r="BO78" s="140"/>
      <c r="BP78" s="140"/>
      <c r="BQ78" s="140"/>
      <c r="BR78" s="140"/>
      <c r="BS78" s="140"/>
      <c r="BT78" s="140"/>
      <c r="BU78" s="140"/>
      <c r="BV78" s="140"/>
      <c r="BW78" s="140"/>
      <c r="BX78" s="140"/>
      <c r="BY78" s="140"/>
      <c r="BZ78" s="140"/>
      <c r="CA78" s="140"/>
      <c r="CB78" s="140"/>
      <c r="CC78" s="140"/>
      <c r="CD78" s="140"/>
      <c r="CE78" s="140"/>
      <c r="CF78" s="140"/>
    </row>
    <row r="79" spans="1:84" ht="12" customHeight="1" outlineLevel="4">
      <c r="A79" s="129"/>
      <c r="B79" s="129"/>
      <c r="C79" s="129">
        <v>5</v>
      </c>
      <c r="D79" s="231" t="s">
        <v>1714</v>
      </c>
      <c r="E79" s="223"/>
      <c r="F79" s="223"/>
      <c r="G79" s="223"/>
      <c r="H79" s="223"/>
      <c r="I79" s="223" t="s">
        <v>1566</v>
      </c>
      <c r="J79" s="223"/>
      <c r="K79" s="223"/>
      <c r="L79" s="223"/>
      <c r="M79" s="223"/>
      <c r="N79" s="223"/>
      <c r="O79" s="223"/>
      <c r="P79" s="132">
        <v>44298</v>
      </c>
      <c r="Q79" s="132">
        <v>44309</v>
      </c>
      <c r="R79" s="225"/>
      <c r="S79" s="226">
        <v>10</v>
      </c>
      <c r="T79" s="226">
        <v>0</v>
      </c>
      <c r="U79" s="226">
        <v>10</v>
      </c>
      <c r="V79" s="226">
        <v>0</v>
      </c>
      <c r="W79" s="224"/>
      <c r="X79" s="224"/>
      <c r="Y79" s="227"/>
      <c r="Z79" s="228">
        <v>0</v>
      </c>
      <c r="AA79" s="226"/>
      <c r="AB79" s="225"/>
      <c r="AC79" s="229"/>
      <c r="AD79" s="230">
        <v>0</v>
      </c>
      <c r="AE79" s="165">
        <v>0</v>
      </c>
      <c r="AF79" s="139"/>
      <c r="AG79" s="140"/>
      <c r="AH79" s="140"/>
      <c r="AI79" s="140"/>
      <c r="AJ79" s="140"/>
      <c r="AK79" s="140"/>
      <c r="AL79" s="140"/>
      <c r="AM79" s="140"/>
      <c r="AN79" s="140"/>
      <c r="AO79" s="140"/>
      <c r="AP79" s="140"/>
      <c r="AQ79" s="140"/>
      <c r="AR79" s="140"/>
      <c r="AS79" s="140"/>
      <c r="AT79" s="140" t="str">
        <f>" " &amp; TEXT(AE79,"#0.00%") &amp; " " &amp; "ForwardingHint 적용 구현 2" &amp; " " &amp; IF(P79="","",TEXT(P79,"M/D-")) &amp; IF(Q79="","",TEXT(Q79,"M/D")) &amp; " "</f>
        <v xml:space="preserve"> 0.00% ForwardingHint 적용 구현 2 4/12-4/23 </v>
      </c>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row>
    <row r="80" spans="1:84" ht="12" customHeight="1" outlineLevel="4">
      <c r="A80" s="129"/>
      <c r="B80" s="129"/>
      <c r="C80" s="129">
        <v>5</v>
      </c>
      <c r="D80" s="231" t="s">
        <v>1715</v>
      </c>
      <c r="E80" s="223"/>
      <c r="F80" s="223"/>
      <c r="G80" s="223"/>
      <c r="H80" s="223"/>
      <c r="I80" s="223" t="s">
        <v>1567</v>
      </c>
      <c r="J80" s="223"/>
      <c r="K80" s="223"/>
      <c r="L80" s="223"/>
      <c r="M80" s="223"/>
      <c r="N80" s="223"/>
      <c r="O80" s="223"/>
      <c r="P80" s="132">
        <v>44312</v>
      </c>
      <c r="Q80" s="132">
        <v>44323</v>
      </c>
      <c r="R80" s="225"/>
      <c r="S80" s="226">
        <v>9</v>
      </c>
      <c r="T80" s="226">
        <v>0</v>
      </c>
      <c r="U80" s="226">
        <v>9</v>
      </c>
      <c r="V80" s="226">
        <v>0</v>
      </c>
      <c r="W80" s="224"/>
      <c r="X80" s="224"/>
      <c r="Y80" s="227"/>
      <c r="Z80" s="228">
        <v>0</v>
      </c>
      <c r="AA80" s="226"/>
      <c r="AB80" s="225"/>
      <c r="AC80" s="229"/>
      <c r="AD80" s="230">
        <v>0</v>
      </c>
      <c r="AE80" s="165">
        <v>0</v>
      </c>
      <c r="AF80" s="139"/>
      <c r="AG80" s="140"/>
      <c r="AH80" s="140"/>
      <c r="AI80" s="140"/>
      <c r="AJ80" s="140"/>
      <c r="AK80" s="140"/>
      <c r="AL80" s="140"/>
      <c r="AM80" s="140"/>
      <c r="AN80" s="140"/>
      <c r="AO80" s="140"/>
      <c r="AP80" s="140"/>
      <c r="AQ80" s="140"/>
      <c r="AR80" s="140"/>
      <c r="AS80" s="140"/>
      <c r="AT80" s="140"/>
      <c r="AU80" s="140"/>
      <c r="AV80" s="140" t="str">
        <f>" " &amp; TEXT(AE80,"#0.00%") &amp; " " &amp; "ForwardingHint 적용 구현 3" &amp; " " &amp; IF(P80="","",TEXT(P80,"M/D-")) &amp; IF(Q80="","",TEXT(Q80,"M/D")) &amp; " "</f>
        <v xml:space="preserve"> 0.00% ForwardingHint 적용 구현 3 4/26-5/7 </v>
      </c>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row>
    <row r="81" spans="1:84" ht="12" customHeight="1" outlineLevel="4">
      <c r="A81" s="129"/>
      <c r="B81" s="129"/>
      <c r="C81" s="129">
        <v>5</v>
      </c>
      <c r="D81" s="231" t="s">
        <v>1716</v>
      </c>
      <c r="E81" s="223"/>
      <c r="F81" s="223"/>
      <c r="G81" s="223"/>
      <c r="H81" s="223"/>
      <c r="I81" s="223" t="s">
        <v>1568</v>
      </c>
      <c r="J81" s="223"/>
      <c r="K81" s="223"/>
      <c r="L81" s="223"/>
      <c r="M81" s="223"/>
      <c r="N81" s="223"/>
      <c r="O81" s="223"/>
      <c r="P81" s="132">
        <v>44326</v>
      </c>
      <c r="Q81" s="132">
        <v>44337</v>
      </c>
      <c r="R81" s="225"/>
      <c r="S81" s="226">
        <v>9</v>
      </c>
      <c r="T81" s="226">
        <v>0</v>
      </c>
      <c r="U81" s="226">
        <v>9</v>
      </c>
      <c r="V81" s="226">
        <v>0</v>
      </c>
      <c r="W81" s="224"/>
      <c r="X81" s="224"/>
      <c r="Y81" s="227"/>
      <c r="Z81" s="228">
        <v>0</v>
      </c>
      <c r="AA81" s="226"/>
      <c r="AB81" s="225"/>
      <c r="AC81" s="229"/>
      <c r="AD81" s="230">
        <v>0</v>
      </c>
      <c r="AE81" s="165">
        <v>0</v>
      </c>
      <c r="AF81" s="139"/>
      <c r="AG81" s="140"/>
      <c r="AH81" s="140"/>
      <c r="AI81" s="140"/>
      <c r="AJ81" s="140"/>
      <c r="AK81" s="140"/>
      <c r="AL81" s="140"/>
      <c r="AM81" s="140"/>
      <c r="AN81" s="140"/>
      <c r="AO81" s="140"/>
      <c r="AP81" s="140"/>
      <c r="AQ81" s="140"/>
      <c r="AR81" s="140"/>
      <c r="AS81" s="140"/>
      <c r="AT81" s="140"/>
      <c r="AU81" s="140"/>
      <c r="AV81" s="140"/>
      <c r="AW81" s="140"/>
      <c r="AX81" s="140" t="str">
        <f>" " &amp; TEXT(AE81,"#0.00%") &amp; " " &amp; "ForwardingHint 적용 구현 4" &amp; " " &amp; IF(P81="","",TEXT(P81,"M/D-")) &amp; IF(Q81="","",TEXT(Q81,"M/D")) &amp; " "</f>
        <v xml:space="preserve"> 0.00% ForwardingHint 적용 구현 4 5/10-5/21 </v>
      </c>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row>
    <row r="82" spans="1:84" ht="12" customHeight="1" outlineLevel="4">
      <c r="A82" s="129"/>
      <c r="B82" s="129"/>
      <c r="C82" s="129">
        <v>5</v>
      </c>
      <c r="D82" s="231" t="s">
        <v>1717</v>
      </c>
      <c r="E82" s="223"/>
      <c r="F82" s="223"/>
      <c r="G82" s="223"/>
      <c r="H82" s="223"/>
      <c r="I82" s="223" t="s">
        <v>1569</v>
      </c>
      <c r="J82" s="223"/>
      <c r="K82" s="223"/>
      <c r="L82" s="223"/>
      <c r="M82" s="223"/>
      <c r="N82" s="223"/>
      <c r="O82" s="223"/>
      <c r="P82" s="132">
        <v>44340</v>
      </c>
      <c r="Q82" s="132">
        <v>44351</v>
      </c>
      <c r="R82" s="225"/>
      <c r="S82" s="226">
        <v>10</v>
      </c>
      <c r="T82" s="226">
        <v>0</v>
      </c>
      <c r="U82" s="226">
        <v>10</v>
      </c>
      <c r="V82" s="226">
        <v>0</v>
      </c>
      <c r="W82" s="224"/>
      <c r="X82" s="224"/>
      <c r="Y82" s="227"/>
      <c r="Z82" s="228">
        <v>0</v>
      </c>
      <c r="AA82" s="226"/>
      <c r="AB82" s="225"/>
      <c r="AC82" s="229"/>
      <c r="AD82" s="230">
        <v>0</v>
      </c>
      <c r="AE82" s="165">
        <v>0</v>
      </c>
      <c r="AF82" s="139"/>
      <c r="AG82" s="140"/>
      <c r="AH82" s="140"/>
      <c r="AI82" s="140"/>
      <c r="AJ82" s="140"/>
      <c r="AK82" s="140"/>
      <c r="AL82" s="140"/>
      <c r="AM82" s="140"/>
      <c r="AN82" s="140"/>
      <c r="AO82" s="140"/>
      <c r="AP82" s="140"/>
      <c r="AQ82" s="140"/>
      <c r="AR82" s="140"/>
      <c r="AS82" s="140"/>
      <c r="AT82" s="140"/>
      <c r="AU82" s="140"/>
      <c r="AV82" s="140"/>
      <c r="AW82" s="140"/>
      <c r="AX82" s="140"/>
      <c r="AY82" s="140"/>
      <c r="AZ82" s="140" t="str">
        <f>" " &amp; TEXT(AE82,"#0.00%") &amp; " " &amp; "ForwardingHint 적용 구현 5" &amp; " " &amp; IF(P82="","",TEXT(P82,"M/D-")) &amp; IF(Q82="","",TEXT(Q82,"M/D")) &amp; " "</f>
        <v xml:space="preserve"> 0.00% ForwardingHint 적용 구현 5 5/24-6/4 </v>
      </c>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row>
    <row r="83" spans="1:84" ht="12" customHeight="1" outlineLevel="4">
      <c r="A83" s="129"/>
      <c r="B83" s="129"/>
      <c r="C83" s="129">
        <v>5</v>
      </c>
      <c r="D83" s="231" t="s">
        <v>1718</v>
      </c>
      <c r="E83" s="223"/>
      <c r="F83" s="223"/>
      <c r="G83" s="223"/>
      <c r="H83" s="223"/>
      <c r="I83" s="223" t="s">
        <v>1570</v>
      </c>
      <c r="J83" s="223"/>
      <c r="K83" s="223"/>
      <c r="L83" s="223"/>
      <c r="M83" s="223"/>
      <c r="N83" s="223"/>
      <c r="O83" s="223"/>
      <c r="P83" s="132">
        <v>44354</v>
      </c>
      <c r="Q83" s="132">
        <v>44365</v>
      </c>
      <c r="R83" s="225"/>
      <c r="S83" s="226">
        <v>10</v>
      </c>
      <c r="T83" s="226">
        <v>0</v>
      </c>
      <c r="U83" s="226">
        <v>10</v>
      </c>
      <c r="V83" s="226">
        <v>0</v>
      </c>
      <c r="W83" s="224"/>
      <c r="X83" s="224"/>
      <c r="Y83" s="227"/>
      <c r="Z83" s="228">
        <v>0</v>
      </c>
      <c r="AA83" s="226"/>
      <c r="AB83" s="225"/>
      <c r="AC83" s="229"/>
      <c r="AD83" s="230">
        <v>0</v>
      </c>
      <c r="AE83" s="165">
        <v>0</v>
      </c>
      <c r="AF83" s="139"/>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t="str">
        <f>" " &amp; TEXT(AE83,"#0.00%") &amp; " " &amp; "ForwardingHint 적용 구현 6" &amp; " " &amp; IF(P83="","",TEXT(P83,"M/D-")) &amp; IF(Q83="","",TEXT(Q83,"M/D")) &amp; " "</f>
        <v xml:space="preserve"> 0.00% ForwardingHint 적용 구현 6 6/7-6/18 </v>
      </c>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row>
    <row r="84" spans="1:84" ht="12" customHeight="1" outlineLevel="4">
      <c r="A84" s="129"/>
      <c r="B84" s="129"/>
      <c r="C84" s="129">
        <v>5</v>
      </c>
      <c r="D84" s="231" t="s">
        <v>1719</v>
      </c>
      <c r="E84" s="223"/>
      <c r="F84" s="223"/>
      <c r="G84" s="223"/>
      <c r="H84" s="223"/>
      <c r="I84" s="223" t="s">
        <v>1571</v>
      </c>
      <c r="J84" s="223"/>
      <c r="K84" s="223"/>
      <c r="L84" s="223"/>
      <c r="M84" s="223"/>
      <c r="N84" s="223"/>
      <c r="O84" s="223"/>
      <c r="P84" s="132">
        <v>44368</v>
      </c>
      <c r="Q84" s="132">
        <v>44379</v>
      </c>
      <c r="R84" s="225"/>
      <c r="S84" s="226">
        <v>10</v>
      </c>
      <c r="T84" s="226">
        <v>0</v>
      </c>
      <c r="U84" s="226">
        <v>10</v>
      </c>
      <c r="V84" s="226">
        <v>0</v>
      </c>
      <c r="W84" s="224"/>
      <c r="X84" s="224"/>
      <c r="Y84" s="227"/>
      <c r="Z84" s="228">
        <v>0</v>
      </c>
      <c r="AA84" s="226"/>
      <c r="AB84" s="225"/>
      <c r="AC84" s="229"/>
      <c r="AD84" s="230">
        <v>0</v>
      </c>
      <c r="AE84" s="165">
        <v>0</v>
      </c>
      <c r="AF84" s="139"/>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t="str">
        <f>" " &amp; TEXT(AE84,"#0.00%") &amp; " " &amp; "ForwardingHint 적용 구현 7" &amp; " " &amp; IF(P84="","",TEXT(P84,"M/D-")) &amp; IF(Q84="","",TEXT(Q84,"M/D")) &amp; " "</f>
        <v xml:space="preserve"> 0.00% ForwardingHint 적용 구현 7 6/21-7/2 </v>
      </c>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row>
    <row r="85" spans="1:84" ht="12" customHeight="1" outlineLevel="4">
      <c r="A85" s="129"/>
      <c r="B85" s="129"/>
      <c r="C85" s="129">
        <v>5</v>
      </c>
      <c r="D85" s="231" t="s">
        <v>1720</v>
      </c>
      <c r="E85" s="223"/>
      <c r="F85" s="223"/>
      <c r="G85" s="223"/>
      <c r="H85" s="223"/>
      <c r="I85" s="223" t="s">
        <v>1564</v>
      </c>
      <c r="J85" s="223"/>
      <c r="K85" s="223"/>
      <c r="L85" s="223"/>
      <c r="M85" s="223"/>
      <c r="N85" s="223"/>
      <c r="O85" s="223"/>
      <c r="P85" s="132">
        <v>44284</v>
      </c>
      <c r="Q85" s="132">
        <v>44295</v>
      </c>
      <c r="R85" s="225"/>
      <c r="S85" s="226">
        <v>10</v>
      </c>
      <c r="T85" s="226">
        <v>0</v>
      </c>
      <c r="U85" s="226">
        <v>10</v>
      </c>
      <c r="V85" s="226">
        <v>0</v>
      </c>
      <c r="W85" s="224"/>
      <c r="X85" s="224"/>
      <c r="Y85" s="227"/>
      <c r="Z85" s="228">
        <v>0</v>
      </c>
      <c r="AA85" s="226"/>
      <c r="AB85" s="225"/>
      <c r="AC85" s="229"/>
      <c r="AD85" s="230">
        <v>0</v>
      </c>
      <c r="AE85" s="165">
        <v>0</v>
      </c>
      <c r="AF85" s="139"/>
      <c r="AG85" s="140"/>
      <c r="AH85" s="140"/>
      <c r="AI85" s="140"/>
      <c r="AJ85" s="140"/>
      <c r="AK85" s="140"/>
      <c r="AL85" s="140"/>
      <c r="AM85" s="140"/>
      <c r="AN85" s="140"/>
      <c r="AO85" s="140"/>
      <c r="AP85" s="140"/>
      <c r="AQ85" s="140"/>
      <c r="AR85" s="140" t="str">
        <f>" " &amp; TEXT(AE85,"#0.00%") &amp; " " &amp; "command 체계 일원화 구현 1" &amp; " " &amp; IF(P85="","",TEXT(P85,"M/D-")) &amp; IF(Q85="","",TEXT(Q85,"M/D")) &amp; " "</f>
        <v xml:space="preserve"> 0.00% command 체계 일원화 구현 1 3/29-4/9 </v>
      </c>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row>
    <row r="86" spans="1:84" ht="12" customHeight="1" outlineLevel="4">
      <c r="A86" s="129"/>
      <c r="B86" s="129"/>
      <c r="C86" s="129">
        <v>5</v>
      </c>
      <c r="D86" s="231" t="s">
        <v>1721</v>
      </c>
      <c r="E86" s="223"/>
      <c r="F86" s="223"/>
      <c r="G86" s="223"/>
      <c r="H86" s="223"/>
      <c r="I86" s="223" t="s">
        <v>1572</v>
      </c>
      <c r="J86" s="223"/>
      <c r="K86" s="223"/>
      <c r="L86" s="223"/>
      <c r="M86" s="223"/>
      <c r="N86" s="223"/>
      <c r="O86" s="223"/>
      <c r="P86" s="132">
        <v>44298</v>
      </c>
      <c r="Q86" s="132">
        <v>44309</v>
      </c>
      <c r="R86" s="225"/>
      <c r="S86" s="226">
        <v>10</v>
      </c>
      <c r="T86" s="226">
        <v>0</v>
      </c>
      <c r="U86" s="226">
        <v>10</v>
      </c>
      <c r="V86" s="226">
        <v>0</v>
      </c>
      <c r="W86" s="224"/>
      <c r="X86" s="224"/>
      <c r="Y86" s="227"/>
      <c r="Z86" s="228">
        <v>0</v>
      </c>
      <c r="AA86" s="226"/>
      <c r="AB86" s="225"/>
      <c r="AC86" s="229"/>
      <c r="AD86" s="230">
        <v>0</v>
      </c>
      <c r="AE86" s="165">
        <v>0</v>
      </c>
      <c r="AF86" s="139"/>
      <c r="AG86" s="140"/>
      <c r="AH86" s="140"/>
      <c r="AI86" s="140"/>
      <c r="AJ86" s="140"/>
      <c r="AK86" s="140"/>
      <c r="AL86" s="140"/>
      <c r="AM86" s="140"/>
      <c r="AN86" s="140"/>
      <c r="AO86" s="140"/>
      <c r="AP86" s="140"/>
      <c r="AQ86" s="140"/>
      <c r="AR86" s="140"/>
      <c r="AS86" s="140"/>
      <c r="AT86" s="140" t="str">
        <f>" " &amp; TEXT(AE86,"#0.00%") &amp; " " &amp; "command 체계 일원화 구현 2" &amp; " " &amp; IF(P86="","",TEXT(P86,"M/D-")) &amp; IF(Q86="","",TEXT(Q86,"M/D")) &amp; " "</f>
        <v xml:space="preserve"> 0.00% command 체계 일원화 구현 2 4/12-4/23 </v>
      </c>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row>
    <row r="87" spans="1:84" ht="12" customHeight="1" outlineLevel="4">
      <c r="A87" s="129"/>
      <c r="B87" s="129"/>
      <c r="C87" s="129">
        <v>5</v>
      </c>
      <c r="D87" s="231" t="s">
        <v>1722</v>
      </c>
      <c r="E87" s="223"/>
      <c r="F87" s="223"/>
      <c r="G87" s="223"/>
      <c r="H87" s="223"/>
      <c r="I87" s="223" t="s">
        <v>1573</v>
      </c>
      <c r="J87" s="223"/>
      <c r="K87" s="223"/>
      <c r="L87" s="223"/>
      <c r="M87" s="223"/>
      <c r="N87" s="223"/>
      <c r="O87" s="223"/>
      <c r="P87" s="132">
        <v>44312</v>
      </c>
      <c r="Q87" s="132">
        <v>44323</v>
      </c>
      <c r="R87" s="225"/>
      <c r="S87" s="226">
        <v>9</v>
      </c>
      <c r="T87" s="226">
        <v>0</v>
      </c>
      <c r="U87" s="226">
        <v>9</v>
      </c>
      <c r="V87" s="226">
        <v>0</v>
      </c>
      <c r="W87" s="224"/>
      <c r="X87" s="224"/>
      <c r="Y87" s="227"/>
      <c r="Z87" s="228">
        <v>0</v>
      </c>
      <c r="AA87" s="226"/>
      <c r="AB87" s="225"/>
      <c r="AC87" s="229"/>
      <c r="AD87" s="230">
        <v>0</v>
      </c>
      <c r="AE87" s="165">
        <v>0</v>
      </c>
      <c r="AF87" s="139"/>
      <c r="AG87" s="140"/>
      <c r="AH87" s="140"/>
      <c r="AI87" s="140"/>
      <c r="AJ87" s="140"/>
      <c r="AK87" s="140"/>
      <c r="AL87" s="140"/>
      <c r="AM87" s="140"/>
      <c r="AN87" s="140"/>
      <c r="AO87" s="140"/>
      <c r="AP87" s="140"/>
      <c r="AQ87" s="140"/>
      <c r="AR87" s="140"/>
      <c r="AS87" s="140"/>
      <c r="AT87" s="140"/>
      <c r="AU87" s="140"/>
      <c r="AV87" s="140" t="str">
        <f>" " &amp; TEXT(AE87,"#0.00%") &amp; " " &amp; "command 체계 일원화 구현 3" &amp; " " &amp; IF(P87="","",TEXT(P87,"M/D-")) &amp; IF(Q87="","",TEXT(Q87,"M/D")) &amp; " "</f>
        <v xml:space="preserve"> 0.00% command 체계 일원화 구현 3 4/26-5/7 </v>
      </c>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row>
    <row r="88" spans="1:84" ht="12" customHeight="1" outlineLevel="4">
      <c r="A88" s="129"/>
      <c r="B88" s="129"/>
      <c r="C88" s="129">
        <v>5</v>
      </c>
      <c r="D88" s="231" t="s">
        <v>1723</v>
      </c>
      <c r="E88" s="223"/>
      <c r="F88" s="223"/>
      <c r="G88" s="223"/>
      <c r="H88" s="223"/>
      <c r="I88" s="223" t="s">
        <v>1574</v>
      </c>
      <c r="J88" s="223"/>
      <c r="K88" s="223"/>
      <c r="L88" s="223"/>
      <c r="M88" s="223"/>
      <c r="N88" s="223"/>
      <c r="O88" s="223"/>
      <c r="P88" s="132">
        <v>44326</v>
      </c>
      <c r="Q88" s="132">
        <v>44337</v>
      </c>
      <c r="R88" s="225"/>
      <c r="S88" s="226">
        <v>9</v>
      </c>
      <c r="T88" s="226">
        <v>0</v>
      </c>
      <c r="U88" s="226">
        <v>9</v>
      </c>
      <c r="V88" s="226">
        <v>0</v>
      </c>
      <c r="W88" s="224"/>
      <c r="X88" s="224"/>
      <c r="Y88" s="227"/>
      <c r="Z88" s="228">
        <v>0</v>
      </c>
      <c r="AA88" s="226"/>
      <c r="AB88" s="225"/>
      <c r="AC88" s="229"/>
      <c r="AD88" s="230">
        <v>0</v>
      </c>
      <c r="AE88" s="165">
        <v>0</v>
      </c>
      <c r="AF88" s="139"/>
      <c r="AG88" s="140"/>
      <c r="AH88" s="140"/>
      <c r="AI88" s="140"/>
      <c r="AJ88" s="140"/>
      <c r="AK88" s="140"/>
      <c r="AL88" s="140"/>
      <c r="AM88" s="140"/>
      <c r="AN88" s="140"/>
      <c r="AO88" s="140"/>
      <c r="AP88" s="140"/>
      <c r="AQ88" s="140"/>
      <c r="AR88" s="140"/>
      <c r="AS88" s="140"/>
      <c r="AT88" s="140"/>
      <c r="AU88" s="140"/>
      <c r="AV88" s="140"/>
      <c r="AW88" s="140"/>
      <c r="AX88" s="140" t="str">
        <f>" " &amp; TEXT(AE88,"#0.00%") &amp; " " &amp; "command 체계 일원화 구현 4" &amp; " " &amp; IF(P88="","",TEXT(P88,"M/D-")) &amp; IF(Q88="","",TEXT(Q88,"M/D")) &amp; " "</f>
        <v xml:space="preserve"> 0.00% command 체계 일원화 구현 4 5/10-5/21 </v>
      </c>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row>
    <row r="89" spans="1:84" ht="12" customHeight="1" outlineLevel="4">
      <c r="A89" s="129"/>
      <c r="B89" s="129"/>
      <c r="C89" s="129">
        <v>5</v>
      </c>
      <c r="D89" s="231" t="s">
        <v>1724</v>
      </c>
      <c r="E89" s="223"/>
      <c r="F89" s="223"/>
      <c r="G89" s="223"/>
      <c r="H89" s="223"/>
      <c r="I89" s="223" t="s">
        <v>1575</v>
      </c>
      <c r="J89" s="223"/>
      <c r="K89" s="223"/>
      <c r="L89" s="223"/>
      <c r="M89" s="223"/>
      <c r="N89" s="223"/>
      <c r="O89" s="223"/>
      <c r="P89" s="132">
        <v>44340</v>
      </c>
      <c r="Q89" s="132">
        <v>44351</v>
      </c>
      <c r="R89" s="225"/>
      <c r="S89" s="226">
        <v>10</v>
      </c>
      <c r="T89" s="226">
        <v>0</v>
      </c>
      <c r="U89" s="226">
        <v>10</v>
      </c>
      <c r="V89" s="226">
        <v>0</v>
      </c>
      <c r="W89" s="224"/>
      <c r="X89" s="224"/>
      <c r="Y89" s="227"/>
      <c r="Z89" s="228">
        <v>0</v>
      </c>
      <c r="AA89" s="226"/>
      <c r="AB89" s="225"/>
      <c r="AC89" s="229"/>
      <c r="AD89" s="230">
        <v>0</v>
      </c>
      <c r="AE89" s="165">
        <v>0</v>
      </c>
      <c r="AF89" s="139"/>
      <c r="AG89" s="140"/>
      <c r="AH89" s="140"/>
      <c r="AI89" s="140"/>
      <c r="AJ89" s="140"/>
      <c r="AK89" s="140"/>
      <c r="AL89" s="140"/>
      <c r="AM89" s="140"/>
      <c r="AN89" s="140"/>
      <c r="AO89" s="140"/>
      <c r="AP89" s="140"/>
      <c r="AQ89" s="140"/>
      <c r="AR89" s="140"/>
      <c r="AS89" s="140"/>
      <c r="AT89" s="140"/>
      <c r="AU89" s="140"/>
      <c r="AV89" s="140"/>
      <c r="AW89" s="140"/>
      <c r="AX89" s="140"/>
      <c r="AY89" s="140"/>
      <c r="AZ89" s="140" t="str">
        <f>" " &amp; TEXT(AE89,"#0.00%") &amp; " " &amp; "command 체계 일원화 구현 5" &amp; " " &amp; IF(P89="","",TEXT(P89,"M/D-")) &amp; IF(Q89="","",TEXT(Q89,"M/D")) &amp; " "</f>
        <v xml:space="preserve"> 0.00% command 체계 일원화 구현 5 5/24-6/4 </v>
      </c>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row>
    <row r="90" spans="1:84" ht="12" customHeight="1" outlineLevel="4">
      <c r="A90" s="129"/>
      <c r="B90" s="129"/>
      <c r="C90" s="129">
        <v>5</v>
      </c>
      <c r="D90" s="231" t="s">
        <v>1725</v>
      </c>
      <c r="E90" s="223"/>
      <c r="F90" s="223"/>
      <c r="G90" s="223"/>
      <c r="H90" s="223"/>
      <c r="I90" s="223" t="s">
        <v>1576</v>
      </c>
      <c r="J90" s="223"/>
      <c r="K90" s="223"/>
      <c r="L90" s="223"/>
      <c r="M90" s="223"/>
      <c r="N90" s="223"/>
      <c r="O90" s="223"/>
      <c r="P90" s="132">
        <v>44354</v>
      </c>
      <c r="Q90" s="132">
        <v>44365</v>
      </c>
      <c r="R90" s="225"/>
      <c r="S90" s="226">
        <v>10</v>
      </c>
      <c r="T90" s="226">
        <v>0</v>
      </c>
      <c r="U90" s="226">
        <v>10</v>
      </c>
      <c r="V90" s="226">
        <v>0</v>
      </c>
      <c r="W90" s="224"/>
      <c r="X90" s="224"/>
      <c r="Y90" s="227"/>
      <c r="Z90" s="228">
        <v>0</v>
      </c>
      <c r="AA90" s="226"/>
      <c r="AB90" s="225"/>
      <c r="AC90" s="229"/>
      <c r="AD90" s="230">
        <v>0</v>
      </c>
      <c r="AE90" s="165">
        <v>0</v>
      </c>
      <c r="AF90" s="139"/>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t="str">
        <f>" " &amp; TEXT(AE90,"#0.00%") &amp; " " &amp; "command 체계 일원화 구현 6" &amp; " " &amp; IF(P90="","",TEXT(P90,"M/D-")) &amp; IF(Q90="","",TEXT(Q90,"M/D")) &amp; " "</f>
        <v xml:space="preserve"> 0.00% command 체계 일원화 구현 6 6/7-6/18 </v>
      </c>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row>
    <row r="91" spans="1:84" ht="12" customHeight="1" outlineLevel="4">
      <c r="A91" s="129"/>
      <c r="B91" s="129"/>
      <c r="C91" s="129">
        <v>5</v>
      </c>
      <c r="D91" s="231" t="s">
        <v>1726</v>
      </c>
      <c r="E91" s="223"/>
      <c r="F91" s="223"/>
      <c r="G91" s="223"/>
      <c r="H91" s="223"/>
      <c r="I91" s="223" t="s">
        <v>1577</v>
      </c>
      <c r="J91" s="223"/>
      <c r="K91" s="223"/>
      <c r="L91" s="223"/>
      <c r="M91" s="223"/>
      <c r="N91" s="223"/>
      <c r="O91" s="223"/>
      <c r="P91" s="132">
        <v>44368</v>
      </c>
      <c r="Q91" s="132">
        <v>44379</v>
      </c>
      <c r="R91" s="225"/>
      <c r="S91" s="226">
        <v>10</v>
      </c>
      <c r="T91" s="226">
        <v>0</v>
      </c>
      <c r="U91" s="226">
        <v>10</v>
      </c>
      <c r="V91" s="226">
        <v>0</v>
      </c>
      <c r="W91" s="224"/>
      <c r="X91" s="224"/>
      <c r="Y91" s="227"/>
      <c r="Z91" s="228">
        <v>0</v>
      </c>
      <c r="AA91" s="226"/>
      <c r="AB91" s="225"/>
      <c r="AC91" s="229"/>
      <c r="AD91" s="230">
        <v>0</v>
      </c>
      <c r="AE91" s="165">
        <v>0</v>
      </c>
      <c r="AF91" s="139"/>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t="str">
        <f>" " &amp; TEXT(AE91,"#0.00%") &amp; " " &amp; "command 체계 일원화 구현 7" &amp; " " &amp; IF(P91="","",TEXT(P91,"M/D-")) &amp; IF(Q91="","",TEXT(Q91,"M/D")) &amp; " "</f>
        <v xml:space="preserve"> 0.00% command 체계 일원화 구현 7 6/21-7/2 </v>
      </c>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row>
    <row r="92" spans="1:84" ht="12" customHeight="1" outlineLevel="4">
      <c r="A92" s="129"/>
      <c r="B92" s="129"/>
      <c r="C92" s="129">
        <v>5</v>
      </c>
      <c r="D92" s="231" t="s">
        <v>1727</v>
      </c>
      <c r="E92" s="223"/>
      <c r="F92" s="223"/>
      <c r="G92" s="223"/>
      <c r="H92" s="223"/>
      <c r="I92" s="223" t="s">
        <v>1565</v>
      </c>
      <c r="J92" s="223"/>
      <c r="K92" s="223"/>
      <c r="L92" s="223"/>
      <c r="M92" s="223"/>
      <c r="N92" s="223"/>
      <c r="O92" s="223"/>
      <c r="P92" s="132">
        <v>44382</v>
      </c>
      <c r="Q92" s="132">
        <v>44393</v>
      </c>
      <c r="R92" s="225"/>
      <c r="S92" s="226">
        <v>10</v>
      </c>
      <c r="T92" s="226">
        <v>0</v>
      </c>
      <c r="U92" s="226">
        <v>10</v>
      </c>
      <c r="V92" s="226">
        <v>0</v>
      </c>
      <c r="W92" s="224"/>
      <c r="X92" s="224"/>
      <c r="Y92" s="227"/>
      <c r="Z92" s="228">
        <v>0</v>
      </c>
      <c r="AA92" s="226"/>
      <c r="AB92" s="225"/>
      <c r="AC92" s="229"/>
      <c r="AD92" s="230">
        <v>0</v>
      </c>
      <c r="AE92" s="165">
        <v>0</v>
      </c>
      <c r="AF92" s="139"/>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t="str">
        <f>" " &amp; TEXT(AE92,"#0.00%") &amp; " " &amp; "모니터링 인터페이스 구현 1" &amp; " " &amp; IF(P92="","",TEXT(P92,"M/D-")) &amp; IF(Q92="","",TEXT(Q92,"M/D")) &amp; " "</f>
        <v xml:space="preserve"> 0.00% 모니터링 인터페이스 구현 1 7/5-7/16 </v>
      </c>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row>
    <row r="93" spans="1:84" ht="12" customHeight="1" outlineLevel="4">
      <c r="A93" s="129"/>
      <c r="B93" s="129"/>
      <c r="C93" s="129">
        <v>5</v>
      </c>
      <c r="D93" s="231" t="s">
        <v>1728</v>
      </c>
      <c r="E93" s="223"/>
      <c r="F93" s="223"/>
      <c r="G93" s="223"/>
      <c r="H93" s="223"/>
      <c r="I93" s="223" t="s">
        <v>1578</v>
      </c>
      <c r="J93" s="223"/>
      <c r="K93" s="223"/>
      <c r="L93" s="223"/>
      <c r="M93" s="223"/>
      <c r="N93" s="223"/>
      <c r="O93" s="223"/>
      <c r="P93" s="132">
        <v>44396</v>
      </c>
      <c r="Q93" s="132">
        <v>44407</v>
      </c>
      <c r="R93" s="225"/>
      <c r="S93" s="226">
        <v>10</v>
      </c>
      <c r="T93" s="226">
        <v>0</v>
      </c>
      <c r="U93" s="226">
        <v>10</v>
      </c>
      <c r="V93" s="226">
        <v>0</v>
      </c>
      <c r="W93" s="224"/>
      <c r="X93" s="224"/>
      <c r="Y93" s="227"/>
      <c r="Z93" s="228">
        <v>0</v>
      </c>
      <c r="AA93" s="226"/>
      <c r="AB93" s="225"/>
      <c r="AC93" s="229"/>
      <c r="AD93" s="230">
        <v>0</v>
      </c>
      <c r="AE93" s="165">
        <v>0</v>
      </c>
      <c r="AF93" s="139"/>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t="str">
        <f>" " &amp; TEXT(AE93,"#0.00%") &amp; " " &amp; "모니터링 인터페이스 구현 2" &amp; " " &amp; IF(P93="","",TEXT(P93,"M/D-")) &amp; IF(Q93="","",TEXT(Q93,"M/D")) &amp; " "</f>
        <v xml:space="preserve"> 0.00% 모니터링 인터페이스 구현 2 7/19-7/30 </v>
      </c>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row>
    <row r="94" spans="1:84" ht="12" customHeight="1" outlineLevel="3">
      <c r="A94" s="129"/>
      <c r="B94" s="129" t="s">
        <v>1345</v>
      </c>
      <c r="C94" s="129">
        <v>4</v>
      </c>
      <c r="D94" s="206" t="s">
        <v>1729</v>
      </c>
      <c r="E94" s="207"/>
      <c r="F94" s="207"/>
      <c r="G94" s="207"/>
      <c r="H94" s="207" t="s">
        <v>1404</v>
      </c>
      <c r="I94" s="207"/>
      <c r="J94" s="207"/>
      <c r="K94" s="207"/>
      <c r="L94" s="207"/>
      <c r="M94" s="207"/>
      <c r="N94" s="207"/>
      <c r="O94" s="207"/>
      <c r="P94" s="217">
        <v>44382</v>
      </c>
      <c r="Q94" s="217">
        <v>44407</v>
      </c>
      <c r="R94" s="216"/>
      <c r="S94" s="218">
        <v>20</v>
      </c>
      <c r="T94" s="218">
        <v>0</v>
      </c>
      <c r="U94" s="218">
        <v>20</v>
      </c>
      <c r="V94" s="218">
        <v>0</v>
      </c>
      <c r="W94" s="217"/>
      <c r="X94" s="217"/>
      <c r="Y94" s="219">
        <v>0</v>
      </c>
      <c r="Z94" s="220">
        <v>0</v>
      </c>
      <c r="AA94" s="218"/>
      <c r="AB94" s="216" t="s">
        <v>1410</v>
      </c>
      <c r="AC94" s="221"/>
      <c r="AD94" s="222">
        <v>0</v>
      </c>
      <c r="AE94" s="192">
        <v>0</v>
      </c>
      <c r="AF94" s="139"/>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t="str">
        <f>" " &amp; TEXT(AE94,"#0.00%") &amp; " "</f>
        <v xml:space="preserve"> 0.00% </v>
      </c>
      <c r="BG94" s="140"/>
      <c r="BH94" s="140"/>
      <c r="BI94" s="140" t="str">
        <f>"      " &amp; "기능 테스트 및 디버깅" &amp; "(신용윤)" &amp; " " &amp; IF(P94="","",TEXT(P94,"M/D-")) &amp; IF(Q94="","",TEXT(Q94,"M/D")) &amp; " "</f>
        <v xml:space="preserve">      기능 테스트 및 디버깅(신용윤) 7/5-7/30 </v>
      </c>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row>
    <row r="95" spans="1:84" ht="12" customHeight="1" outlineLevel="4">
      <c r="A95" s="129"/>
      <c r="B95" s="129"/>
      <c r="C95" s="129">
        <v>5</v>
      </c>
      <c r="D95" s="231" t="s">
        <v>1730</v>
      </c>
      <c r="E95" s="223"/>
      <c r="F95" s="223"/>
      <c r="G95" s="223"/>
      <c r="H95" s="223"/>
      <c r="I95" s="223" t="s">
        <v>1518</v>
      </c>
      <c r="J95" s="223"/>
      <c r="K95" s="223"/>
      <c r="L95" s="223"/>
      <c r="M95" s="223"/>
      <c r="N95" s="223"/>
      <c r="O95" s="223"/>
      <c r="P95" s="132">
        <v>44382</v>
      </c>
      <c r="Q95" s="132">
        <v>44393</v>
      </c>
      <c r="R95" s="225"/>
      <c r="S95" s="226">
        <v>10</v>
      </c>
      <c r="T95" s="226">
        <v>0</v>
      </c>
      <c r="U95" s="226">
        <v>10</v>
      </c>
      <c r="V95" s="226">
        <v>0</v>
      </c>
      <c r="W95" s="224"/>
      <c r="X95" s="224"/>
      <c r="Y95" s="227"/>
      <c r="Z95" s="228">
        <v>0</v>
      </c>
      <c r="AA95" s="226"/>
      <c r="AB95" s="225"/>
      <c r="AC95" s="229"/>
      <c r="AD95" s="230">
        <v>0</v>
      </c>
      <c r="AE95" s="165">
        <v>0</v>
      </c>
      <c r="AF95" s="139"/>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t="str">
        <f>" " &amp; TEXT(AE95,"#0.00%") &amp; " " &amp; "유닛 테스트 및 디버깅 1" &amp; " " &amp; IF(P95="","",TEXT(P95,"M/D-")) &amp; IF(Q95="","",TEXT(Q95,"M/D")) &amp; " "</f>
        <v xml:space="preserve"> 0.00% 유닛 테스트 및 디버깅 1 7/5-7/16 </v>
      </c>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row>
    <row r="96" spans="1:84" ht="12" customHeight="1" outlineLevel="4">
      <c r="A96" s="129"/>
      <c r="B96" s="129"/>
      <c r="C96" s="129">
        <v>5</v>
      </c>
      <c r="D96" s="231" t="s">
        <v>1731</v>
      </c>
      <c r="E96" s="223"/>
      <c r="F96" s="223"/>
      <c r="G96" s="223"/>
      <c r="H96" s="223"/>
      <c r="I96" s="223" t="s">
        <v>1519</v>
      </c>
      <c r="J96" s="223"/>
      <c r="K96" s="223"/>
      <c r="L96" s="223"/>
      <c r="M96" s="223"/>
      <c r="N96" s="223"/>
      <c r="O96" s="223"/>
      <c r="P96" s="132">
        <v>44396</v>
      </c>
      <c r="Q96" s="132">
        <v>44407</v>
      </c>
      <c r="R96" s="225"/>
      <c r="S96" s="226">
        <v>10</v>
      </c>
      <c r="T96" s="226">
        <v>0</v>
      </c>
      <c r="U96" s="226">
        <v>10</v>
      </c>
      <c r="V96" s="226">
        <v>0</v>
      </c>
      <c r="W96" s="224"/>
      <c r="X96" s="224"/>
      <c r="Y96" s="227"/>
      <c r="Z96" s="228">
        <v>0</v>
      </c>
      <c r="AA96" s="226"/>
      <c r="AB96" s="225"/>
      <c r="AC96" s="229"/>
      <c r="AD96" s="230">
        <v>0</v>
      </c>
      <c r="AE96" s="165">
        <v>0</v>
      </c>
      <c r="AF96" s="139"/>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t="str">
        <f>" " &amp; TEXT(AE96,"#0.00%") &amp; " " &amp; "유닛 테스트 및 디버깅 2" &amp; " " &amp; IF(P96="","",TEXT(P96,"M/D-")) &amp; IF(Q96="","",TEXT(Q96,"M/D")) &amp; " "</f>
        <v xml:space="preserve"> 0.00% 유닛 테스트 및 디버깅 2 7/19-7/30 </v>
      </c>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row>
    <row r="97" spans="1:84" ht="12" customHeight="1" outlineLevel="3">
      <c r="A97" s="129">
        <v>0</v>
      </c>
      <c r="B97" s="129" t="s">
        <v>1345</v>
      </c>
      <c r="C97" s="129">
        <v>4</v>
      </c>
      <c r="D97" s="206" t="s">
        <v>1732</v>
      </c>
      <c r="E97" s="207"/>
      <c r="F97" s="207"/>
      <c r="G97" s="207"/>
      <c r="H97" s="207" t="s">
        <v>1491</v>
      </c>
      <c r="I97" s="207"/>
      <c r="J97" s="207"/>
      <c r="K97" s="207"/>
      <c r="L97" s="207"/>
      <c r="M97" s="207"/>
      <c r="N97" s="207"/>
      <c r="O97" s="207"/>
      <c r="P97" s="217">
        <v>44410</v>
      </c>
      <c r="Q97" s="217">
        <v>44561</v>
      </c>
      <c r="R97" s="216"/>
      <c r="S97" s="218">
        <v>107</v>
      </c>
      <c r="T97" s="218">
        <v>0</v>
      </c>
      <c r="U97" s="218">
        <v>107</v>
      </c>
      <c r="V97" s="218">
        <v>0</v>
      </c>
      <c r="W97" s="217"/>
      <c r="X97" s="217"/>
      <c r="Y97" s="219">
        <v>0</v>
      </c>
      <c r="Z97" s="220">
        <v>0</v>
      </c>
      <c r="AA97" s="218"/>
      <c r="AB97" s="216" t="s">
        <v>1410</v>
      </c>
      <c r="AC97" s="221"/>
      <c r="AD97" s="222">
        <v>0</v>
      </c>
      <c r="AE97" s="192">
        <v>0</v>
      </c>
      <c r="AF97" s="139"/>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t="str">
        <f>" " &amp; TEXT(AE97,"#0.00%") &amp; " "</f>
        <v xml:space="preserve"> 0.00% </v>
      </c>
      <c r="BK97" s="140"/>
      <c r="BL97" s="140"/>
      <c r="BM97" s="140"/>
      <c r="BN97" s="140"/>
      <c r="BO97" s="140"/>
      <c r="BP97" s="140"/>
      <c r="BQ97" s="140"/>
      <c r="BR97" s="140"/>
      <c r="BS97" s="140"/>
      <c r="BT97" s="140"/>
      <c r="BU97" s="140"/>
      <c r="BV97" s="140"/>
      <c r="BW97" s="140"/>
      <c r="BX97" s="140"/>
      <c r="BY97" s="140"/>
      <c r="BZ97" s="140"/>
      <c r="CA97" s="140"/>
      <c r="CB97" s="140"/>
      <c r="CC97" s="140"/>
      <c r="CD97" s="140"/>
      <c r="CE97" s="140" t="str">
        <f>"      " &amp; "통합 테스트" &amp; "(신용윤)" &amp; " " &amp; IF(P97="","",TEXT(P97,"M/D-")) &amp; IF(Q97="","",TEXT(Q97,"M/D")) &amp; " "</f>
        <v xml:space="preserve">      통합 테스트(신용윤) 8/2-12/31 </v>
      </c>
      <c r="CF97" s="140"/>
    </row>
    <row r="98" spans="1:84" ht="12" customHeight="1" outlineLevel="4">
      <c r="A98" s="129"/>
      <c r="B98" s="129"/>
      <c r="C98" s="129">
        <v>5</v>
      </c>
      <c r="D98" s="231" t="s">
        <v>1733</v>
      </c>
      <c r="E98" s="223"/>
      <c r="F98" s="223"/>
      <c r="G98" s="223"/>
      <c r="H98" s="223"/>
      <c r="I98" s="223" t="s">
        <v>1543</v>
      </c>
      <c r="J98" s="223"/>
      <c r="K98" s="223"/>
      <c r="L98" s="223"/>
      <c r="M98" s="223"/>
      <c r="N98" s="223"/>
      <c r="O98" s="223"/>
      <c r="P98" s="132">
        <v>44410</v>
      </c>
      <c r="Q98" s="132">
        <v>44421</v>
      </c>
      <c r="R98" s="225"/>
      <c r="S98" s="226">
        <v>10</v>
      </c>
      <c r="T98" s="226">
        <v>0</v>
      </c>
      <c r="U98" s="226">
        <v>10</v>
      </c>
      <c r="V98" s="226">
        <v>0</v>
      </c>
      <c r="W98" s="224"/>
      <c r="X98" s="224"/>
      <c r="Y98" s="227"/>
      <c r="Z98" s="228">
        <v>0</v>
      </c>
      <c r="AA98" s="226"/>
      <c r="AB98" s="225"/>
      <c r="AC98" s="229"/>
      <c r="AD98" s="230">
        <v>0</v>
      </c>
      <c r="AE98" s="165">
        <v>0</v>
      </c>
      <c r="AF98" s="139"/>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t="str">
        <f>" " &amp; TEXT(AE98,"#0.00%") &amp; " " &amp; "연동 테스트 1" &amp; " " &amp; IF(P98="","",TEXT(P98,"M/D-")) &amp; IF(Q98="","",TEXT(Q98,"M/D")) &amp; " "</f>
        <v xml:space="preserve"> 0.00% 연동 테스트 1 8/2-8/13 </v>
      </c>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row>
    <row r="99" spans="1:84" ht="12" customHeight="1" outlineLevel="4">
      <c r="A99" s="129"/>
      <c r="B99" s="129"/>
      <c r="C99" s="129">
        <v>5</v>
      </c>
      <c r="D99" s="231" t="s">
        <v>1734</v>
      </c>
      <c r="E99" s="223"/>
      <c r="F99" s="223"/>
      <c r="G99" s="223"/>
      <c r="H99" s="223"/>
      <c r="I99" s="223" t="s">
        <v>1544</v>
      </c>
      <c r="J99" s="223"/>
      <c r="K99" s="223"/>
      <c r="L99" s="223"/>
      <c r="M99" s="223"/>
      <c r="N99" s="223"/>
      <c r="O99" s="223"/>
      <c r="P99" s="132">
        <v>44424</v>
      </c>
      <c r="Q99" s="132">
        <v>44435</v>
      </c>
      <c r="R99" s="225"/>
      <c r="S99" s="226">
        <v>10</v>
      </c>
      <c r="T99" s="226">
        <v>0</v>
      </c>
      <c r="U99" s="226">
        <v>10</v>
      </c>
      <c r="V99" s="226">
        <v>0</v>
      </c>
      <c r="W99" s="224"/>
      <c r="X99" s="224"/>
      <c r="Y99" s="227"/>
      <c r="Z99" s="228">
        <v>0</v>
      </c>
      <c r="AA99" s="226"/>
      <c r="AB99" s="225"/>
      <c r="AC99" s="229"/>
      <c r="AD99" s="230">
        <v>0</v>
      </c>
      <c r="AE99" s="165">
        <v>0</v>
      </c>
      <c r="AF99" s="139"/>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t="str">
        <f>" " &amp; TEXT(AE99,"#0.00%") &amp; " " &amp; "연동 테스트 2" &amp; " " &amp; IF(P99="","",TEXT(P99,"M/D-")) &amp; IF(Q99="","",TEXT(Q99,"M/D")) &amp; " "</f>
        <v xml:space="preserve"> 0.00% 연동 테스트 2 8/16-8/27 </v>
      </c>
      <c r="BM99" s="140"/>
      <c r="BN99" s="140"/>
      <c r="BO99" s="140"/>
      <c r="BP99" s="140"/>
      <c r="BQ99" s="140"/>
      <c r="BR99" s="140"/>
      <c r="BS99" s="140"/>
      <c r="BT99" s="140"/>
      <c r="BU99" s="140"/>
      <c r="BV99" s="140"/>
      <c r="BW99" s="140"/>
      <c r="BX99" s="140"/>
      <c r="BY99" s="140"/>
      <c r="BZ99" s="140"/>
      <c r="CA99" s="140"/>
      <c r="CB99" s="140"/>
      <c r="CC99" s="140"/>
      <c r="CD99" s="140"/>
      <c r="CE99" s="140"/>
      <c r="CF99" s="140"/>
    </row>
    <row r="100" spans="1:84" ht="12" customHeight="1" outlineLevel="4">
      <c r="A100" s="129"/>
      <c r="B100" s="129"/>
      <c r="C100" s="129">
        <v>5</v>
      </c>
      <c r="D100" s="231" t="s">
        <v>1735</v>
      </c>
      <c r="E100" s="223"/>
      <c r="F100" s="223"/>
      <c r="G100" s="223"/>
      <c r="H100" s="223"/>
      <c r="I100" s="223" t="s">
        <v>1579</v>
      </c>
      <c r="J100" s="223"/>
      <c r="K100" s="223"/>
      <c r="L100" s="223"/>
      <c r="M100" s="223"/>
      <c r="N100" s="223"/>
      <c r="O100" s="223"/>
      <c r="P100" s="132">
        <v>44438</v>
      </c>
      <c r="Q100" s="132">
        <v>44449</v>
      </c>
      <c r="R100" s="225"/>
      <c r="S100" s="226">
        <v>10</v>
      </c>
      <c r="T100" s="226">
        <v>0</v>
      </c>
      <c r="U100" s="226">
        <v>10</v>
      </c>
      <c r="V100" s="226">
        <v>0</v>
      </c>
      <c r="W100" s="224"/>
      <c r="X100" s="224"/>
      <c r="Y100" s="227"/>
      <c r="Z100" s="228">
        <v>0</v>
      </c>
      <c r="AA100" s="226"/>
      <c r="AB100" s="225"/>
      <c r="AC100" s="229"/>
      <c r="AD100" s="230">
        <v>0</v>
      </c>
      <c r="AE100" s="165">
        <v>0</v>
      </c>
      <c r="AF100" s="139"/>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t="str">
        <f>" " &amp; TEXT(AE100,"#0.00%") &amp; " " &amp; "연동 테스트 3" &amp; " " &amp; IF(P100="","",TEXT(P100,"M/D-")) &amp; IF(Q100="","",TEXT(Q100,"M/D")) &amp; " "</f>
        <v xml:space="preserve"> 0.00% 연동 테스트 3 8/30-9/10 </v>
      </c>
      <c r="BO100" s="140"/>
      <c r="BP100" s="140"/>
      <c r="BQ100" s="140"/>
      <c r="BR100" s="140"/>
      <c r="BS100" s="140"/>
      <c r="BT100" s="140"/>
      <c r="BU100" s="140"/>
      <c r="BV100" s="140"/>
      <c r="BW100" s="140"/>
      <c r="BX100" s="140"/>
      <c r="BY100" s="140"/>
      <c r="BZ100" s="140"/>
      <c r="CA100" s="140"/>
      <c r="CB100" s="140"/>
      <c r="CC100" s="140"/>
      <c r="CD100" s="140"/>
      <c r="CE100" s="140"/>
      <c r="CF100" s="140"/>
    </row>
    <row r="101" spans="1:84" ht="12" customHeight="1" outlineLevel="4">
      <c r="A101" s="129"/>
      <c r="B101" s="129"/>
      <c r="C101" s="129">
        <v>5</v>
      </c>
      <c r="D101" s="231" t="s">
        <v>1736</v>
      </c>
      <c r="E101" s="223"/>
      <c r="F101" s="223"/>
      <c r="G101" s="223"/>
      <c r="H101" s="223"/>
      <c r="I101" s="223" t="s">
        <v>1580</v>
      </c>
      <c r="J101" s="223"/>
      <c r="K101" s="223"/>
      <c r="L101" s="223"/>
      <c r="M101" s="223"/>
      <c r="N101" s="223"/>
      <c r="O101" s="223"/>
      <c r="P101" s="132">
        <v>44452</v>
      </c>
      <c r="Q101" s="132">
        <v>44463</v>
      </c>
      <c r="R101" s="225"/>
      <c r="S101" s="226">
        <v>7</v>
      </c>
      <c r="T101" s="226">
        <v>0</v>
      </c>
      <c r="U101" s="226">
        <v>7</v>
      </c>
      <c r="V101" s="226">
        <v>0</v>
      </c>
      <c r="W101" s="224"/>
      <c r="X101" s="224"/>
      <c r="Y101" s="227"/>
      <c r="Z101" s="228">
        <v>0</v>
      </c>
      <c r="AA101" s="226"/>
      <c r="AB101" s="225"/>
      <c r="AC101" s="229"/>
      <c r="AD101" s="230">
        <v>0</v>
      </c>
      <c r="AE101" s="165">
        <v>0</v>
      </c>
      <c r="AF101" s="139"/>
      <c r="AG101" s="140"/>
      <c r="AH101" s="140"/>
      <c r="AI101" s="140"/>
      <c r="AJ101" s="140"/>
      <c r="AK101" s="140"/>
      <c r="AL101" s="140"/>
      <c r="AM101" s="140"/>
      <c r="AN101" s="140"/>
      <c r="AO101" s="140"/>
      <c r="AP101" s="140"/>
      <c r="AQ101" s="140"/>
      <c r="AR101" s="140"/>
      <c r="AS101" s="140"/>
      <c r="AT101" s="140"/>
      <c r="AU101" s="140"/>
      <c r="AV101" s="140"/>
      <c r="AW101" s="140"/>
      <c r="AX101" s="140"/>
      <c r="AY101" s="140"/>
      <c r="AZ101" s="140"/>
      <c r="BA101" s="140"/>
      <c r="BB101" s="140"/>
      <c r="BC101" s="140"/>
      <c r="BD101" s="140"/>
      <c r="BE101" s="140"/>
      <c r="BF101" s="140"/>
      <c r="BG101" s="140"/>
      <c r="BH101" s="140"/>
      <c r="BI101" s="140"/>
      <c r="BJ101" s="140"/>
      <c r="BK101" s="140"/>
      <c r="BL101" s="140"/>
      <c r="BM101" s="140"/>
      <c r="BN101" s="140"/>
      <c r="BO101" s="140"/>
      <c r="BP101" s="140" t="str">
        <f>" " &amp; TEXT(AE101,"#0.00%") &amp; " " &amp; "연동 테스트 4" &amp; " " &amp; IF(P101="","",TEXT(P101,"M/D-")) &amp; IF(Q101="","",TEXT(Q101,"M/D")) &amp; " "</f>
        <v xml:space="preserve"> 0.00% 연동 테스트 4 9/13-9/24 </v>
      </c>
      <c r="BQ101" s="140"/>
      <c r="BR101" s="140"/>
      <c r="BS101" s="140"/>
      <c r="BT101" s="140"/>
      <c r="BU101" s="140"/>
      <c r="BV101" s="140"/>
      <c r="BW101" s="140"/>
      <c r="BX101" s="140"/>
      <c r="BY101" s="140"/>
      <c r="BZ101" s="140"/>
      <c r="CA101" s="140"/>
      <c r="CB101" s="140"/>
      <c r="CC101" s="140"/>
      <c r="CD101" s="140"/>
      <c r="CE101" s="140"/>
      <c r="CF101" s="140"/>
    </row>
    <row r="102" spans="1:84" ht="12" customHeight="1" outlineLevel="4">
      <c r="A102" s="129"/>
      <c r="B102" s="129"/>
      <c r="C102" s="129">
        <v>5</v>
      </c>
      <c r="D102" s="231" t="s">
        <v>1737</v>
      </c>
      <c r="E102" s="223"/>
      <c r="F102" s="223"/>
      <c r="G102" s="223"/>
      <c r="H102" s="223"/>
      <c r="I102" s="223" t="s">
        <v>1581</v>
      </c>
      <c r="J102" s="223"/>
      <c r="K102" s="223"/>
      <c r="L102" s="223"/>
      <c r="M102" s="223"/>
      <c r="N102" s="223"/>
      <c r="O102" s="223"/>
      <c r="P102" s="224">
        <v>44466</v>
      </c>
      <c r="Q102" s="224">
        <v>44477</v>
      </c>
      <c r="R102" s="225"/>
      <c r="S102" s="226">
        <v>10</v>
      </c>
      <c r="T102" s="226">
        <v>0</v>
      </c>
      <c r="U102" s="226">
        <v>10</v>
      </c>
      <c r="V102" s="226">
        <v>0</v>
      </c>
      <c r="W102" s="224"/>
      <c r="X102" s="224"/>
      <c r="Y102" s="227"/>
      <c r="Z102" s="228">
        <v>0</v>
      </c>
      <c r="AA102" s="226"/>
      <c r="AB102" s="225"/>
      <c r="AC102" s="229"/>
      <c r="AD102" s="230">
        <v>0</v>
      </c>
      <c r="AE102" s="165">
        <v>0</v>
      </c>
      <c r="AF102" s="139"/>
      <c r="AG102" s="140"/>
      <c r="AH102" s="140"/>
      <c r="AI102" s="140"/>
      <c r="AJ102" s="140"/>
      <c r="AK102" s="140"/>
      <c r="AL102" s="140"/>
      <c r="AM102" s="140"/>
      <c r="AN102" s="140"/>
      <c r="AO102" s="140"/>
      <c r="AP102" s="140"/>
      <c r="AQ102" s="140"/>
      <c r="AR102" s="140"/>
      <c r="AS102" s="140"/>
      <c r="AT102" s="140"/>
      <c r="AU102" s="140"/>
      <c r="AV102" s="140"/>
      <c r="AW102" s="140"/>
      <c r="AX102" s="140"/>
      <c r="AY102" s="140"/>
      <c r="AZ102" s="140"/>
      <c r="BA102" s="140"/>
      <c r="BB102" s="140"/>
      <c r="BC102" s="140"/>
      <c r="BD102" s="140"/>
      <c r="BE102" s="140"/>
      <c r="BF102" s="140"/>
      <c r="BG102" s="140"/>
      <c r="BH102" s="140"/>
      <c r="BI102" s="140"/>
      <c r="BJ102" s="140"/>
      <c r="BK102" s="140"/>
      <c r="BL102" s="140"/>
      <c r="BM102" s="140"/>
      <c r="BN102" s="140"/>
      <c r="BO102" s="140"/>
      <c r="BP102" s="140"/>
      <c r="BQ102" s="140"/>
      <c r="BR102" s="140" t="str">
        <f>" " &amp; TEXT(AE102,"#0.00%") &amp; " " &amp; "연동 테스트 5" &amp; " " &amp; IF(P102="","",TEXT(P102,"M/D-")) &amp; IF(Q102="","",TEXT(Q102,"M/D")) &amp; " "</f>
        <v xml:space="preserve"> 0.00% 연동 테스트 5 9/27-10/8 </v>
      </c>
      <c r="BS102" s="140"/>
      <c r="BT102" s="140"/>
      <c r="BU102" s="140"/>
      <c r="BV102" s="140"/>
      <c r="BW102" s="140"/>
      <c r="BX102" s="140"/>
      <c r="BY102" s="140"/>
      <c r="BZ102" s="140"/>
      <c r="CA102" s="140"/>
      <c r="CB102" s="140"/>
      <c r="CC102" s="140"/>
      <c r="CD102" s="140"/>
      <c r="CE102" s="140"/>
      <c r="CF102" s="140"/>
    </row>
    <row r="103" spans="1:84" ht="12" customHeight="1" outlineLevel="4">
      <c r="A103" s="129"/>
      <c r="B103" s="129"/>
      <c r="C103" s="129">
        <v>5</v>
      </c>
      <c r="D103" s="231" t="s">
        <v>1738</v>
      </c>
      <c r="E103" s="223"/>
      <c r="F103" s="223"/>
      <c r="G103" s="223"/>
      <c r="H103" s="223"/>
      <c r="I103" s="223" t="s">
        <v>1582</v>
      </c>
      <c r="J103" s="223"/>
      <c r="K103" s="223"/>
      <c r="L103" s="223"/>
      <c r="M103" s="223"/>
      <c r="N103" s="223"/>
      <c r="O103" s="223"/>
      <c r="P103" s="224">
        <v>44480</v>
      </c>
      <c r="Q103" s="224">
        <v>44491</v>
      </c>
      <c r="R103" s="225"/>
      <c r="S103" s="226">
        <v>10</v>
      </c>
      <c r="T103" s="226">
        <v>0</v>
      </c>
      <c r="U103" s="226">
        <v>10</v>
      </c>
      <c r="V103" s="226">
        <v>0</v>
      </c>
      <c r="W103" s="224"/>
      <c r="X103" s="224"/>
      <c r="Y103" s="227"/>
      <c r="Z103" s="228">
        <v>0</v>
      </c>
      <c r="AA103" s="226"/>
      <c r="AB103" s="225"/>
      <c r="AC103" s="229"/>
      <c r="AD103" s="230">
        <v>0</v>
      </c>
      <c r="AE103" s="165">
        <v>0</v>
      </c>
      <c r="AF103" s="139"/>
      <c r="AG103" s="140"/>
      <c r="AH103" s="140"/>
      <c r="AI103" s="140"/>
      <c r="AJ103" s="140"/>
      <c r="AK103" s="140"/>
      <c r="AL103" s="140"/>
      <c r="AM103" s="140"/>
      <c r="AN103" s="140"/>
      <c r="AO103" s="140"/>
      <c r="AP103" s="140"/>
      <c r="AQ103" s="140"/>
      <c r="AR103" s="140"/>
      <c r="AS103" s="140"/>
      <c r="AT103" s="140"/>
      <c r="AU103" s="140"/>
      <c r="AV103" s="140"/>
      <c r="AW103" s="140"/>
      <c r="AX103" s="140"/>
      <c r="AY103" s="140"/>
      <c r="AZ103" s="140"/>
      <c r="BA103" s="140"/>
      <c r="BB103" s="140"/>
      <c r="BC103" s="140"/>
      <c r="BD103" s="140"/>
      <c r="BE103" s="140"/>
      <c r="BF103" s="140"/>
      <c r="BG103" s="140"/>
      <c r="BH103" s="140"/>
      <c r="BI103" s="140"/>
      <c r="BJ103" s="140"/>
      <c r="BK103" s="140"/>
      <c r="BL103" s="140"/>
      <c r="BM103" s="140"/>
      <c r="BN103" s="140"/>
      <c r="BO103" s="140"/>
      <c r="BP103" s="140"/>
      <c r="BQ103" s="140"/>
      <c r="BR103" s="140"/>
      <c r="BS103" s="140"/>
      <c r="BT103" s="140" t="str">
        <f>" " &amp; TEXT(AE103,"#0.00%") &amp; " " &amp; "연동 테스트 6" &amp; " " &amp; IF(P103="","",TEXT(P103,"M/D-")) &amp; IF(Q103="","",TEXT(Q103,"M/D")) &amp; " "</f>
        <v xml:space="preserve"> 0.00% 연동 테스트 6 10/11-10/22 </v>
      </c>
      <c r="BU103" s="140"/>
      <c r="BV103" s="140"/>
      <c r="BW103" s="140"/>
      <c r="BX103" s="140"/>
      <c r="BY103" s="140"/>
      <c r="BZ103" s="140"/>
      <c r="CA103" s="140"/>
      <c r="CB103" s="140"/>
      <c r="CC103" s="140"/>
      <c r="CD103" s="140"/>
      <c r="CE103" s="140"/>
      <c r="CF103" s="140"/>
    </row>
    <row r="104" spans="1:84" ht="12" customHeight="1" outlineLevel="4">
      <c r="A104" s="129"/>
      <c r="B104" s="129"/>
      <c r="C104" s="129">
        <v>5</v>
      </c>
      <c r="D104" s="231" t="s">
        <v>1739</v>
      </c>
      <c r="E104" s="223"/>
      <c r="F104" s="223"/>
      <c r="G104" s="223"/>
      <c r="H104" s="223"/>
      <c r="I104" s="223" t="s">
        <v>1583</v>
      </c>
      <c r="J104" s="223"/>
      <c r="K104" s="223"/>
      <c r="L104" s="223"/>
      <c r="M104" s="223"/>
      <c r="N104" s="223"/>
      <c r="O104" s="223"/>
      <c r="P104" s="224">
        <v>44494</v>
      </c>
      <c r="Q104" s="224">
        <v>44505</v>
      </c>
      <c r="R104" s="225"/>
      <c r="S104" s="226">
        <v>10</v>
      </c>
      <c r="T104" s="226">
        <v>0</v>
      </c>
      <c r="U104" s="226">
        <v>10</v>
      </c>
      <c r="V104" s="226">
        <v>0</v>
      </c>
      <c r="W104" s="224"/>
      <c r="X104" s="224"/>
      <c r="Y104" s="227"/>
      <c r="Z104" s="228">
        <v>0</v>
      </c>
      <c r="AA104" s="226"/>
      <c r="AB104" s="225"/>
      <c r="AC104" s="229"/>
      <c r="AD104" s="230">
        <v>0</v>
      </c>
      <c r="AE104" s="165">
        <v>0</v>
      </c>
      <c r="AF104" s="139"/>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t="str">
        <f>" " &amp; TEXT(AE104,"#0.00%") &amp; " " &amp; "연동 테스트 7" &amp; " " &amp; IF(P104="","",TEXT(P104,"M/D-")) &amp; IF(Q104="","",TEXT(Q104,"M/D")) &amp; " "</f>
        <v xml:space="preserve"> 0.00% 연동 테스트 7 10/25-11/5 </v>
      </c>
      <c r="BW104" s="140"/>
      <c r="BX104" s="140"/>
      <c r="BY104" s="140"/>
      <c r="BZ104" s="140"/>
      <c r="CA104" s="140"/>
      <c r="CB104" s="140"/>
      <c r="CC104" s="140"/>
      <c r="CD104" s="140"/>
      <c r="CE104" s="140"/>
      <c r="CF104" s="140"/>
    </row>
    <row r="105" spans="1:84" ht="12" customHeight="1" outlineLevel="4">
      <c r="A105" s="129"/>
      <c r="B105" s="129"/>
      <c r="C105" s="129">
        <v>5</v>
      </c>
      <c r="D105" s="231" t="s">
        <v>1740</v>
      </c>
      <c r="E105" s="223"/>
      <c r="F105" s="223"/>
      <c r="G105" s="223"/>
      <c r="H105" s="223"/>
      <c r="I105" s="223" t="s">
        <v>1545</v>
      </c>
      <c r="J105" s="223"/>
      <c r="K105" s="223"/>
      <c r="L105" s="223"/>
      <c r="M105" s="223"/>
      <c r="N105" s="223"/>
      <c r="O105" s="223"/>
      <c r="P105" s="224">
        <v>44508</v>
      </c>
      <c r="Q105" s="224">
        <v>44519</v>
      </c>
      <c r="R105" s="225"/>
      <c r="S105" s="226">
        <v>10</v>
      </c>
      <c r="T105" s="226">
        <v>0</v>
      </c>
      <c r="U105" s="226">
        <v>10</v>
      </c>
      <c r="V105" s="226">
        <v>0</v>
      </c>
      <c r="W105" s="224"/>
      <c r="X105" s="224"/>
      <c r="Y105" s="227"/>
      <c r="Z105" s="228">
        <v>0</v>
      </c>
      <c r="AA105" s="226"/>
      <c r="AB105" s="225"/>
      <c r="AC105" s="229"/>
      <c r="AD105" s="230">
        <v>0</v>
      </c>
      <c r="AE105" s="165">
        <v>0</v>
      </c>
      <c r="AF105" s="139"/>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t="str">
        <f>" " &amp; TEXT(AE105,"#0.00%") &amp; " " &amp; "코드 안정화 1" &amp; " " &amp; IF(P105="","",TEXT(P105,"M/D-")) &amp; IF(Q105="","",TEXT(Q105,"M/D")) &amp; " "</f>
        <v xml:space="preserve"> 0.00% 코드 안정화 1 11/8-11/19 </v>
      </c>
      <c r="BY105" s="140"/>
      <c r="BZ105" s="140"/>
      <c r="CA105" s="140"/>
      <c r="CB105" s="140"/>
      <c r="CC105" s="140"/>
      <c r="CD105" s="140"/>
      <c r="CE105" s="140"/>
      <c r="CF105" s="140"/>
    </row>
    <row r="106" spans="1:84" ht="12" customHeight="1" outlineLevel="4">
      <c r="A106" s="129"/>
      <c r="B106" s="129"/>
      <c r="C106" s="129">
        <v>5</v>
      </c>
      <c r="D106" s="231" t="s">
        <v>1741</v>
      </c>
      <c r="E106" s="223"/>
      <c r="F106" s="223"/>
      <c r="G106" s="223"/>
      <c r="H106" s="223"/>
      <c r="I106" s="223" t="s">
        <v>1546</v>
      </c>
      <c r="J106" s="223"/>
      <c r="K106" s="223"/>
      <c r="L106" s="223"/>
      <c r="M106" s="223"/>
      <c r="N106" s="223"/>
      <c r="O106" s="223"/>
      <c r="P106" s="224">
        <v>44522</v>
      </c>
      <c r="Q106" s="224">
        <v>44533</v>
      </c>
      <c r="R106" s="225"/>
      <c r="S106" s="226">
        <v>10</v>
      </c>
      <c r="T106" s="226">
        <v>0</v>
      </c>
      <c r="U106" s="226">
        <v>10</v>
      </c>
      <c r="V106" s="226">
        <v>0</v>
      </c>
      <c r="W106" s="224"/>
      <c r="X106" s="224"/>
      <c r="Y106" s="227"/>
      <c r="Z106" s="228">
        <v>0</v>
      </c>
      <c r="AA106" s="226"/>
      <c r="AB106" s="225"/>
      <c r="AC106" s="229"/>
      <c r="AD106" s="230">
        <v>0</v>
      </c>
      <c r="AE106" s="165">
        <v>0</v>
      </c>
      <c r="AF106" s="139"/>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t="str">
        <f>" " &amp; TEXT(AE106,"#0.00%") &amp; " " &amp; "코드 안정화 2" &amp; " " &amp; IF(P106="","",TEXT(P106,"M/D-")) &amp; IF(Q106="","",TEXT(Q106,"M/D")) &amp; " "</f>
        <v xml:space="preserve"> 0.00% 코드 안정화 2 11/22-12/3 </v>
      </c>
      <c r="CA106" s="140"/>
      <c r="CB106" s="140"/>
      <c r="CC106" s="140"/>
      <c r="CD106" s="140"/>
      <c r="CE106" s="140"/>
      <c r="CF106" s="140"/>
    </row>
    <row r="107" spans="1:84" ht="12" customHeight="1" outlineLevel="4">
      <c r="A107" s="129"/>
      <c r="B107" s="129"/>
      <c r="C107" s="129">
        <v>5</v>
      </c>
      <c r="D107" s="231" t="s">
        <v>1742</v>
      </c>
      <c r="E107" s="223"/>
      <c r="F107" s="223"/>
      <c r="G107" s="223"/>
      <c r="H107" s="223"/>
      <c r="I107" s="223" t="s">
        <v>1547</v>
      </c>
      <c r="J107" s="223"/>
      <c r="K107" s="223"/>
      <c r="L107" s="223"/>
      <c r="M107" s="223"/>
      <c r="N107" s="223"/>
      <c r="O107" s="223"/>
      <c r="P107" s="224">
        <v>44536</v>
      </c>
      <c r="Q107" s="224">
        <v>44547</v>
      </c>
      <c r="R107" s="225"/>
      <c r="S107" s="226">
        <v>10</v>
      </c>
      <c r="T107" s="226">
        <v>0</v>
      </c>
      <c r="U107" s="226">
        <v>10</v>
      </c>
      <c r="V107" s="226">
        <v>0</v>
      </c>
      <c r="W107" s="224"/>
      <c r="X107" s="224"/>
      <c r="Y107" s="227"/>
      <c r="Z107" s="228">
        <v>0</v>
      </c>
      <c r="AA107" s="226"/>
      <c r="AB107" s="225"/>
      <c r="AC107" s="229"/>
      <c r="AD107" s="230">
        <v>0</v>
      </c>
      <c r="AE107" s="165">
        <v>0</v>
      </c>
      <c r="AF107" s="139"/>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t="str">
        <f>" " &amp; TEXT(AE107,"#0.00%") &amp; " " &amp; "코드 안정화 3" &amp; " " &amp; IF(P107="","",TEXT(P107,"M/D-")) &amp; IF(Q107="","",TEXT(Q107,"M/D")) &amp; " "</f>
        <v xml:space="preserve"> 0.00% 코드 안정화 3 12/6-12/17 </v>
      </c>
      <c r="CC107" s="140"/>
      <c r="CD107" s="140"/>
      <c r="CE107" s="140"/>
      <c r="CF107" s="140"/>
    </row>
    <row r="108" spans="1:84" ht="12" customHeight="1" outlineLevel="4">
      <c r="A108" s="129"/>
      <c r="B108" s="129"/>
      <c r="C108" s="129">
        <v>5</v>
      </c>
      <c r="D108" s="231" t="s">
        <v>1743</v>
      </c>
      <c r="E108" s="223"/>
      <c r="F108" s="223"/>
      <c r="G108" s="223"/>
      <c r="H108" s="223"/>
      <c r="I108" s="223" t="s">
        <v>1584</v>
      </c>
      <c r="J108" s="223"/>
      <c r="K108" s="223"/>
      <c r="L108" s="223"/>
      <c r="M108" s="223"/>
      <c r="N108" s="223"/>
      <c r="O108" s="223"/>
      <c r="P108" s="224">
        <v>44550</v>
      </c>
      <c r="Q108" s="224">
        <v>44561</v>
      </c>
      <c r="R108" s="225"/>
      <c r="S108" s="226">
        <v>10</v>
      </c>
      <c r="T108" s="226">
        <v>0</v>
      </c>
      <c r="U108" s="226">
        <v>10</v>
      </c>
      <c r="V108" s="226">
        <v>0</v>
      </c>
      <c r="W108" s="224"/>
      <c r="X108" s="224"/>
      <c r="Y108" s="227"/>
      <c r="Z108" s="228">
        <v>0</v>
      </c>
      <c r="AA108" s="226"/>
      <c r="AB108" s="225"/>
      <c r="AC108" s="229"/>
      <c r="AD108" s="230">
        <v>0</v>
      </c>
      <c r="AE108" s="165">
        <v>0</v>
      </c>
      <c r="AF108" s="139"/>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c r="BC108" s="140"/>
      <c r="BD108" s="140"/>
      <c r="BE108" s="140"/>
      <c r="BF108" s="140"/>
      <c r="BG108" s="140"/>
      <c r="BH108" s="140"/>
      <c r="BI108" s="140"/>
      <c r="BJ108" s="140"/>
      <c r="BK108" s="140"/>
      <c r="BL108" s="140"/>
      <c r="BM108" s="140"/>
      <c r="BN108" s="140"/>
      <c r="BO108" s="140"/>
      <c r="BP108" s="140"/>
      <c r="BQ108" s="140"/>
      <c r="BR108" s="140"/>
      <c r="BS108" s="140"/>
      <c r="BT108" s="140"/>
      <c r="BU108" s="140"/>
      <c r="BV108" s="140"/>
      <c r="BW108" s="140"/>
      <c r="BX108" s="140"/>
      <c r="BY108" s="140"/>
      <c r="BZ108" s="140"/>
      <c r="CA108" s="140"/>
      <c r="CB108" s="140"/>
      <c r="CC108" s="140"/>
      <c r="CD108" s="140" t="str">
        <f>" " &amp; TEXT(AE108,"#0.00%") &amp; " " &amp; "코드 안정화 4" &amp; " " &amp; IF(P108="","",TEXT(P108,"M/D-")) &amp; IF(Q108="","",TEXT(Q108,"M/D")) &amp; " "</f>
        <v xml:space="preserve"> 0.00% 코드 안정화 4 12/20-12/31 </v>
      </c>
      <c r="CE108" s="140"/>
      <c r="CF108" s="140"/>
    </row>
    <row r="109" spans="1:84" ht="12" customHeight="1" outlineLevel="2">
      <c r="A109" s="129"/>
      <c r="B109" s="129" t="s">
        <v>1345</v>
      </c>
      <c r="C109" s="129">
        <v>3</v>
      </c>
      <c r="D109" s="130" t="s">
        <v>1744</v>
      </c>
      <c r="E109" s="131"/>
      <c r="F109" s="131"/>
      <c r="G109" s="131" t="s">
        <v>1492</v>
      </c>
      <c r="H109" s="131"/>
      <c r="I109" s="131"/>
      <c r="J109" s="131"/>
      <c r="K109" s="131"/>
      <c r="L109" s="131"/>
      <c r="M109" s="131"/>
      <c r="N109" s="131"/>
      <c r="O109" s="131"/>
      <c r="P109" s="132">
        <v>44410</v>
      </c>
      <c r="Q109" s="132">
        <v>44505</v>
      </c>
      <c r="R109" s="133"/>
      <c r="S109" s="134">
        <v>67</v>
      </c>
      <c r="T109" s="134">
        <v>0</v>
      </c>
      <c r="U109" s="134">
        <v>67</v>
      </c>
      <c r="V109" s="134">
        <v>0</v>
      </c>
      <c r="W109" s="132"/>
      <c r="X109" s="132"/>
      <c r="Y109" s="135">
        <v>0</v>
      </c>
      <c r="Z109" s="136">
        <v>0</v>
      </c>
      <c r="AA109" s="134"/>
      <c r="AB109" s="133" t="s">
        <v>1410</v>
      </c>
      <c r="AC109" s="137"/>
      <c r="AD109" s="138">
        <v>0</v>
      </c>
      <c r="AE109" s="192">
        <v>0</v>
      </c>
      <c r="AF109" s="139"/>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c r="BC109" s="140"/>
      <c r="BD109" s="140"/>
      <c r="BE109" s="140"/>
      <c r="BF109" s="140"/>
      <c r="BG109" s="140"/>
      <c r="BH109" s="140"/>
      <c r="BI109" s="140"/>
      <c r="BJ109" s="140" t="str">
        <f>" " &amp; TEXT(AE109,"#0.00%") &amp; " "</f>
        <v xml:space="preserve"> 0.00% </v>
      </c>
      <c r="BK109" s="140"/>
      <c r="BL109" s="140"/>
      <c r="BM109" s="140"/>
      <c r="BN109" s="140"/>
      <c r="BO109" s="140"/>
      <c r="BP109" s="140"/>
      <c r="BQ109" s="140"/>
      <c r="BR109" s="140"/>
      <c r="BS109" s="140"/>
      <c r="BT109" s="140"/>
      <c r="BU109" s="140"/>
      <c r="BV109" s="140"/>
      <c r="BW109" s="140" t="str">
        <f>"      " &amp; "DIFS Tools 라이브러리화" &amp; "(신용윤)" &amp; " " &amp; IF(P109="","",TEXT(P109,"M/D-")) &amp; IF(Q109="","",TEXT(Q109,"M/D")) &amp; " "</f>
        <v xml:space="preserve">      DIFS Tools 라이브러리화(신용윤) 8/2-11/5 </v>
      </c>
      <c r="BX109" s="140"/>
      <c r="BY109" s="140"/>
      <c r="BZ109" s="140"/>
      <c r="CA109" s="140"/>
      <c r="CB109" s="140"/>
      <c r="CC109" s="140"/>
      <c r="CD109" s="140"/>
      <c r="CE109" s="140"/>
      <c r="CF109" s="140"/>
    </row>
    <row r="110" spans="1:84" ht="12" customHeight="1" outlineLevel="3">
      <c r="A110" s="129"/>
      <c r="B110" s="129" t="s">
        <v>1345</v>
      </c>
      <c r="C110" s="129">
        <v>4</v>
      </c>
      <c r="D110" s="130" t="s">
        <v>1427</v>
      </c>
      <c r="E110" s="131"/>
      <c r="F110" s="131"/>
      <c r="G110" s="131"/>
      <c r="H110" s="131" t="s">
        <v>1392</v>
      </c>
      <c r="I110" s="131"/>
      <c r="J110" s="131"/>
      <c r="K110" s="131"/>
      <c r="L110" s="131"/>
      <c r="M110" s="131"/>
      <c r="N110" s="131"/>
      <c r="O110" s="131"/>
      <c r="P110" s="132">
        <v>44410</v>
      </c>
      <c r="Q110" s="132">
        <v>44435</v>
      </c>
      <c r="R110" s="133"/>
      <c r="S110" s="134">
        <v>20</v>
      </c>
      <c r="T110" s="134">
        <v>0</v>
      </c>
      <c r="U110" s="134">
        <v>20</v>
      </c>
      <c r="V110" s="134">
        <v>0</v>
      </c>
      <c r="W110" s="132"/>
      <c r="X110" s="132"/>
      <c r="Y110" s="135">
        <v>0</v>
      </c>
      <c r="Z110" s="136">
        <v>0</v>
      </c>
      <c r="AA110" s="134"/>
      <c r="AB110" s="133" t="s">
        <v>1410</v>
      </c>
      <c r="AC110" s="137"/>
      <c r="AD110" s="138">
        <v>0</v>
      </c>
      <c r="AE110" s="192">
        <v>0</v>
      </c>
      <c r="AF110" s="139"/>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c r="BC110" s="140"/>
      <c r="BD110" s="140"/>
      <c r="BE110" s="140"/>
      <c r="BF110" s="140"/>
      <c r="BG110" s="140"/>
      <c r="BH110" s="140"/>
      <c r="BI110" s="140"/>
      <c r="BJ110" s="140" t="str">
        <f>" " &amp; TEXT(AE110,"#0.00%") &amp; " "</f>
        <v xml:space="preserve"> 0.00% </v>
      </c>
      <c r="BK110" s="140"/>
      <c r="BL110" s="140"/>
      <c r="BM110" s="140" t="str">
        <f>"      " &amp; "기능 정의 및 설계" &amp; "(신용윤)" &amp; " " &amp; IF(P110="","",TEXT(P110,"M/D-")) &amp; IF(Q110="","",TEXT(Q110,"M/D")) &amp; " "</f>
        <v xml:space="preserve">      기능 정의 및 설계(신용윤) 8/2-8/27 </v>
      </c>
      <c r="BN110" s="140"/>
      <c r="BO110" s="140"/>
      <c r="BP110" s="140"/>
      <c r="BQ110" s="140"/>
      <c r="BR110" s="140"/>
      <c r="BS110" s="140"/>
      <c r="BT110" s="140"/>
      <c r="BU110" s="140"/>
      <c r="BV110" s="140"/>
      <c r="BW110" s="140"/>
      <c r="BX110" s="140"/>
      <c r="BY110" s="140"/>
      <c r="BZ110" s="140"/>
      <c r="CA110" s="140"/>
      <c r="CB110" s="140"/>
      <c r="CC110" s="140"/>
      <c r="CD110" s="140"/>
      <c r="CE110" s="140"/>
      <c r="CF110" s="140"/>
    </row>
    <row r="111" spans="1:84" ht="12" customHeight="1" outlineLevel="4">
      <c r="A111" s="129"/>
      <c r="B111" s="129"/>
      <c r="C111" s="129">
        <v>5</v>
      </c>
      <c r="D111" s="130" t="s">
        <v>1745</v>
      </c>
      <c r="E111" s="131"/>
      <c r="F111" s="131"/>
      <c r="G111" s="131"/>
      <c r="H111" s="131"/>
      <c r="I111" s="131" t="s">
        <v>1585</v>
      </c>
      <c r="J111" s="131"/>
      <c r="K111" s="131"/>
      <c r="L111" s="131"/>
      <c r="M111" s="131"/>
      <c r="N111" s="131"/>
      <c r="O111" s="131"/>
      <c r="P111" s="132">
        <v>44410</v>
      </c>
      <c r="Q111" s="132">
        <v>44421</v>
      </c>
      <c r="R111" s="133"/>
      <c r="S111" s="134">
        <v>10</v>
      </c>
      <c r="T111" s="134">
        <v>0</v>
      </c>
      <c r="U111" s="134">
        <v>10</v>
      </c>
      <c r="V111" s="134">
        <v>0</v>
      </c>
      <c r="W111" s="132"/>
      <c r="X111" s="132"/>
      <c r="Y111" s="135"/>
      <c r="Z111" s="136">
        <v>0</v>
      </c>
      <c r="AA111" s="134"/>
      <c r="AB111" s="133"/>
      <c r="AC111" s="137"/>
      <c r="AD111" s="138">
        <v>0</v>
      </c>
      <c r="AE111" s="165">
        <v>0</v>
      </c>
      <c r="AF111" s="139"/>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c r="BC111" s="140"/>
      <c r="BD111" s="140"/>
      <c r="BE111" s="140"/>
      <c r="BF111" s="140"/>
      <c r="BG111" s="140"/>
      <c r="BH111" s="140"/>
      <c r="BI111" s="140"/>
      <c r="BJ111" s="140" t="str">
        <f>" " &amp; TEXT(AE111,"#0.00%") &amp; " " &amp; "user tools 기능 설계 1" &amp; " " &amp; IF(P111="","",TEXT(P111,"M/D-")) &amp; IF(Q111="","",TEXT(Q111,"M/D")) &amp; " "</f>
        <v xml:space="preserve"> 0.00% user tools 기능 설계 1 8/2-8/13 </v>
      </c>
      <c r="BK111" s="140"/>
      <c r="BL111" s="140"/>
      <c r="BM111" s="140"/>
      <c r="BN111" s="140"/>
      <c r="BO111" s="140"/>
      <c r="BP111" s="140"/>
      <c r="BQ111" s="140"/>
      <c r="BR111" s="140"/>
      <c r="BS111" s="140"/>
      <c r="BT111" s="140"/>
      <c r="BU111" s="140"/>
      <c r="BV111" s="140"/>
      <c r="BW111" s="140"/>
      <c r="BX111" s="140"/>
      <c r="BY111" s="140"/>
      <c r="BZ111" s="140"/>
      <c r="CA111" s="140"/>
      <c r="CB111" s="140"/>
      <c r="CC111" s="140"/>
      <c r="CD111" s="140"/>
      <c r="CE111" s="140"/>
      <c r="CF111" s="140"/>
    </row>
    <row r="112" spans="1:84" ht="12" customHeight="1" outlineLevel="4">
      <c r="A112" s="129"/>
      <c r="B112" s="129"/>
      <c r="C112" s="129">
        <v>5</v>
      </c>
      <c r="D112" s="130" t="s">
        <v>1746</v>
      </c>
      <c r="E112" s="131"/>
      <c r="F112" s="131"/>
      <c r="G112" s="131"/>
      <c r="H112" s="131"/>
      <c r="I112" s="131" t="s">
        <v>1586</v>
      </c>
      <c r="J112" s="131"/>
      <c r="K112" s="131"/>
      <c r="L112" s="131"/>
      <c r="M112" s="131"/>
      <c r="N112" s="131"/>
      <c r="O112" s="131"/>
      <c r="P112" s="132">
        <v>44424</v>
      </c>
      <c r="Q112" s="132">
        <v>44435</v>
      </c>
      <c r="R112" s="133"/>
      <c r="S112" s="134">
        <v>10</v>
      </c>
      <c r="T112" s="134">
        <v>0</v>
      </c>
      <c r="U112" s="134">
        <v>10</v>
      </c>
      <c r="V112" s="134">
        <v>0</v>
      </c>
      <c r="W112" s="132"/>
      <c r="X112" s="132"/>
      <c r="Y112" s="135"/>
      <c r="Z112" s="136">
        <v>0</v>
      </c>
      <c r="AA112" s="134"/>
      <c r="AB112" s="133"/>
      <c r="AC112" s="137"/>
      <c r="AD112" s="138">
        <v>0</v>
      </c>
      <c r="AE112" s="165">
        <v>0</v>
      </c>
      <c r="AF112" s="139"/>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c r="BC112" s="140"/>
      <c r="BD112" s="140"/>
      <c r="BE112" s="140"/>
      <c r="BF112" s="140"/>
      <c r="BG112" s="140"/>
      <c r="BH112" s="140"/>
      <c r="BI112" s="140"/>
      <c r="BJ112" s="140"/>
      <c r="BK112" s="140"/>
      <c r="BL112" s="140" t="str">
        <f>" " &amp; TEXT(AE112,"#0.00%") &amp; " " &amp; "user tools 기능 설계 2" &amp; " " &amp; IF(P112="","",TEXT(P112,"M/D-")) &amp; IF(Q112="","",TEXT(Q112,"M/D")) &amp; " "</f>
        <v xml:space="preserve"> 0.00% user tools 기능 설계 2 8/16-8/27 </v>
      </c>
      <c r="BM112" s="140"/>
      <c r="BN112" s="140"/>
      <c r="BO112" s="140"/>
      <c r="BP112" s="140"/>
      <c r="BQ112" s="140"/>
      <c r="BR112" s="140"/>
      <c r="BS112" s="140"/>
      <c r="BT112" s="140"/>
      <c r="BU112" s="140"/>
      <c r="BV112" s="140"/>
      <c r="BW112" s="140"/>
      <c r="BX112" s="140"/>
      <c r="BY112" s="140"/>
      <c r="BZ112" s="140"/>
      <c r="CA112" s="140"/>
      <c r="CB112" s="140"/>
      <c r="CC112" s="140"/>
      <c r="CD112" s="140"/>
      <c r="CE112" s="140"/>
      <c r="CF112" s="140"/>
    </row>
    <row r="113" spans="1:84" ht="12" customHeight="1" outlineLevel="3">
      <c r="A113" s="129"/>
      <c r="B113" s="129" t="s">
        <v>1345</v>
      </c>
      <c r="C113" s="129">
        <v>4</v>
      </c>
      <c r="D113" s="130" t="s">
        <v>1747</v>
      </c>
      <c r="E113" s="131"/>
      <c r="F113" s="131"/>
      <c r="G113" s="131"/>
      <c r="H113" s="131" t="s">
        <v>1493</v>
      </c>
      <c r="I113" s="131"/>
      <c r="J113" s="131"/>
      <c r="K113" s="131"/>
      <c r="L113" s="131"/>
      <c r="M113" s="131"/>
      <c r="N113" s="131"/>
      <c r="O113" s="131"/>
      <c r="P113" s="132">
        <v>44438</v>
      </c>
      <c r="Q113" s="132">
        <v>44477</v>
      </c>
      <c r="R113" s="133"/>
      <c r="S113" s="134">
        <v>27</v>
      </c>
      <c r="T113" s="134">
        <v>0</v>
      </c>
      <c r="U113" s="134">
        <v>27</v>
      </c>
      <c r="V113" s="134">
        <v>0</v>
      </c>
      <c r="W113" s="132"/>
      <c r="X113" s="132"/>
      <c r="Y113" s="135">
        <v>0</v>
      </c>
      <c r="Z113" s="136">
        <v>0</v>
      </c>
      <c r="AA113" s="134"/>
      <c r="AB113" s="133" t="s">
        <v>1410</v>
      </c>
      <c r="AC113" s="137" t="s">
        <v>1418</v>
      </c>
      <c r="AD113" s="138">
        <v>0</v>
      </c>
      <c r="AE113" s="192">
        <v>0</v>
      </c>
      <c r="AF113" s="139"/>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c r="BC113" s="140"/>
      <c r="BD113" s="140"/>
      <c r="BE113" s="140"/>
      <c r="BF113" s="140"/>
      <c r="BG113" s="140"/>
      <c r="BH113" s="140"/>
      <c r="BI113" s="140"/>
      <c r="BJ113" s="140"/>
      <c r="BK113" s="140"/>
      <c r="BL113" s="140"/>
      <c r="BM113" s="140"/>
      <c r="BN113" s="140" t="str">
        <f>" " &amp; TEXT(AE113,"#0.00%") &amp; " "</f>
        <v xml:space="preserve"> 0.00% </v>
      </c>
      <c r="BO113" s="140"/>
      <c r="BP113" s="140"/>
      <c r="BQ113" s="140"/>
      <c r="BR113" s="140"/>
      <c r="BS113" s="140" t="str">
        <f>"      " &amp; "라이브러리 구현" &amp; "(신용윤)" &amp; " " &amp; IF(P113="","",TEXT(P113,"M/D-")) &amp; IF(Q113="","",TEXT(Q113,"M/D")) &amp; " "</f>
        <v xml:space="preserve">      라이브러리 구현(신용윤) 8/30-10/8 </v>
      </c>
      <c r="BT113" s="140"/>
      <c r="BU113" s="140"/>
      <c r="BV113" s="140"/>
      <c r="BW113" s="140"/>
      <c r="BX113" s="140"/>
      <c r="BY113" s="140"/>
      <c r="BZ113" s="140"/>
      <c r="CA113" s="140"/>
      <c r="CB113" s="140"/>
      <c r="CC113" s="140"/>
      <c r="CD113" s="140"/>
      <c r="CE113" s="140"/>
      <c r="CF113" s="140"/>
    </row>
    <row r="114" spans="1:84" ht="12" customHeight="1" outlineLevel="4">
      <c r="A114" s="129"/>
      <c r="B114" s="129"/>
      <c r="C114" s="129">
        <v>5</v>
      </c>
      <c r="D114" s="130" t="s">
        <v>1748</v>
      </c>
      <c r="E114" s="131"/>
      <c r="F114" s="131"/>
      <c r="G114" s="131"/>
      <c r="H114" s="131"/>
      <c r="I114" s="131" t="s">
        <v>1587</v>
      </c>
      <c r="J114" s="131"/>
      <c r="K114" s="131"/>
      <c r="L114" s="131"/>
      <c r="M114" s="131"/>
      <c r="N114" s="131"/>
      <c r="O114" s="131"/>
      <c r="P114" s="132">
        <v>44438</v>
      </c>
      <c r="Q114" s="132">
        <v>44449</v>
      </c>
      <c r="R114" s="133"/>
      <c r="S114" s="134">
        <v>10</v>
      </c>
      <c r="T114" s="134">
        <v>0</v>
      </c>
      <c r="U114" s="134">
        <v>10</v>
      </c>
      <c r="V114" s="134">
        <v>0</v>
      </c>
      <c r="W114" s="132"/>
      <c r="X114" s="132"/>
      <c r="Y114" s="135"/>
      <c r="Z114" s="136">
        <v>0</v>
      </c>
      <c r="AA114" s="134"/>
      <c r="AB114" s="133"/>
      <c r="AC114" s="137"/>
      <c r="AD114" s="138">
        <v>0</v>
      </c>
      <c r="AE114" s="165">
        <v>0</v>
      </c>
      <c r="AF114" s="139"/>
      <c r="AG114" s="140"/>
      <c r="AH114" s="140"/>
      <c r="AI114" s="140"/>
      <c r="AJ114" s="140"/>
      <c r="AK114" s="140"/>
      <c r="AL114" s="140"/>
      <c r="AM114" s="140"/>
      <c r="AN114" s="140"/>
      <c r="AO114" s="140"/>
      <c r="AP114" s="140"/>
      <c r="AQ114" s="140"/>
      <c r="AR114" s="140"/>
      <c r="AS114" s="140"/>
      <c r="AT114" s="140"/>
      <c r="AU114" s="140"/>
      <c r="AV114" s="140"/>
      <c r="AW114" s="140"/>
      <c r="AX114" s="140"/>
      <c r="AY114" s="140"/>
      <c r="AZ114" s="140"/>
      <c r="BA114" s="140"/>
      <c r="BB114" s="140"/>
      <c r="BC114" s="140"/>
      <c r="BD114" s="140"/>
      <c r="BE114" s="140"/>
      <c r="BF114" s="140"/>
      <c r="BG114" s="140"/>
      <c r="BH114" s="140"/>
      <c r="BI114" s="140"/>
      <c r="BJ114" s="140"/>
      <c r="BK114" s="140"/>
      <c r="BL114" s="140"/>
      <c r="BM114" s="140"/>
      <c r="BN114" s="140" t="str">
        <f>" " &amp; TEXT(AE114,"#0.00%") &amp; " " &amp; "user lib 구성 1" &amp; " " &amp; IF(P114="","",TEXT(P114,"M/D-")) &amp; IF(Q114="","",TEXT(Q114,"M/D")) &amp; " "</f>
        <v xml:space="preserve"> 0.00% user lib 구성 1 8/30-9/10 </v>
      </c>
      <c r="BO114" s="140"/>
      <c r="BP114" s="140"/>
      <c r="BQ114" s="140"/>
      <c r="BR114" s="140"/>
      <c r="BS114" s="140"/>
      <c r="BT114" s="140"/>
      <c r="BU114" s="140"/>
      <c r="BV114" s="140"/>
      <c r="BW114" s="140"/>
      <c r="BX114" s="140"/>
      <c r="BY114" s="140"/>
      <c r="BZ114" s="140"/>
      <c r="CA114" s="140"/>
      <c r="CB114" s="140"/>
      <c r="CC114" s="140"/>
      <c r="CD114" s="140"/>
      <c r="CE114" s="140"/>
      <c r="CF114" s="140"/>
    </row>
    <row r="115" spans="1:84" ht="12" customHeight="1" outlineLevel="4">
      <c r="A115" s="129"/>
      <c r="B115" s="129"/>
      <c r="C115" s="129">
        <v>5</v>
      </c>
      <c r="D115" s="130" t="s">
        <v>1749</v>
      </c>
      <c r="E115" s="131"/>
      <c r="F115" s="131"/>
      <c r="G115" s="131"/>
      <c r="H115" s="131"/>
      <c r="I115" s="131" t="s">
        <v>1588</v>
      </c>
      <c r="J115" s="131"/>
      <c r="K115" s="131"/>
      <c r="L115" s="131"/>
      <c r="M115" s="131"/>
      <c r="N115" s="131"/>
      <c r="O115" s="131"/>
      <c r="P115" s="132">
        <v>44452</v>
      </c>
      <c r="Q115" s="132">
        <v>44463</v>
      </c>
      <c r="R115" s="133"/>
      <c r="S115" s="134">
        <v>7</v>
      </c>
      <c r="T115" s="134">
        <v>0</v>
      </c>
      <c r="U115" s="134">
        <v>7</v>
      </c>
      <c r="V115" s="134">
        <v>0</v>
      </c>
      <c r="W115" s="132"/>
      <c r="X115" s="132"/>
      <c r="Y115" s="135"/>
      <c r="Z115" s="136">
        <v>0</v>
      </c>
      <c r="AA115" s="134"/>
      <c r="AB115" s="133"/>
      <c r="AC115" s="137"/>
      <c r="AD115" s="138">
        <v>0</v>
      </c>
      <c r="AE115" s="165">
        <v>0</v>
      </c>
      <c r="AF115" s="139"/>
      <c r="AG115" s="140"/>
      <c r="AH115" s="140"/>
      <c r="AI115" s="140"/>
      <c r="AJ115" s="140"/>
      <c r="AK115" s="140"/>
      <c r="AL115" s="140"/>
      <c r="AM115" s="140"/>
      <c r="AN115" s="140"/>
      <c r="AO115" s="140"/>
      <c r="AP115" s="140"/>
      <c r="AQ115" s="140"/>
      <c r="AR115" s="140"/>
      <c r="AS115" s="140"/>
      <c r="AT115" s="140"/>
      <c r="AU115" s="140"/>
      <c r="AV115" s="140"/>
      <c r="AW115" s="140"/>
      <c r="AX115" s="140"/>
      <c r="AY115" s="140"/>
      <c r="AZ115" s="140"/>
      <c r="BA115" s="140"/>
      <c r="BB115" s="140"/>
      <c r="BC115" s="140"/>
      <c r="BD115" s="140"/>
      <c r="BE115" s="140"/>
      <c r="BF115" s="140"/>
      <c r="BG115" s="140"/>
      <c r="BH115" s="140"/>
      <c r="BI115" s="140"/>
      <c r="BJ115" s="140"/>
      <c r="BK115" s="140"/>
      <c r="BL115" s="140"/>
      <c r="BM115" s="140"/>
      <c r="BN115" s="140"/>
      <c r="BO115" s="140"/>
      <c r="BP115" s="140" t="str">
        <f>" " &amp; TEXT(AE115,"#0.00%") &amp; " " &amp; "user lib 구성 2" &amp; " " &amp; IF(P115="","",TEXT(P115,"M/D-")) &amp; IF(Q115="","",TEXT(Q115,"M/D")) &amp; " "</f>
        <v xml:space="preserve"> 0.00% user lib 구성 2 9/13-9/24 </v>
      </c>
      <c r="BQ115" s="140"/>
      <c r="BR115" s="140"/>
      <c r="BS115" s="140"/>
      <c r="BT115" s="140"/>
      <c r="BU115" s="140"/>
      <c r="BV115" s="140"/>
      <c r="BW115" s="140"/>
      <c r="BX115" s="140"/>
      <c r="BY115" s="140"/>
      <c r="BZ115" s="140"/>
      <c r="CA115" s="140"/>
      <c r="CB115" s="140"/>
      <c r="CC115" s="140"/>
      <c r="CD115" s="140"/>
      <c r="CE115" s="140"/>
      <c r="CF115" s="140"/>
    </row>
    <row r="116" spans="1:84" ht="12" customHeight="1" outlineLevel="4">
      <c r="A116" s="129"/>
      <c r="B116" s="129"/>
      <c r="C116" s="129">
        <v>5</v>
      </c>
      <c r="D116" s="130" t="s">
        <v>1750</v>
      </c>
      <c r="E116" s="131"/>
      <c r="F116" s="131"/>
      <c r="G116" s="131"/>
      <c r="H116" s="131"/>
      <c r="I116" s="131" t="s">
        <v>1589</v>
      </c>
      <c r="J116" s="131"/>
      <c r="K116" s="131"/>
      <c r="L116" s="131"/>
      <c r="M116" s="131"/>
      <c r="N116" s="131"/>
      <c r="O116" s="131"/>
      <c r="P116" s="224">
        <v>44466</v>
      </c>
      <c r="Q116" s="224">
        <v>44477</v>
      </c>
      <c r="R116" s="133"/>
      <c r="S116" s="134">
        <v>10</v>
      </c>
      <c r="T116" s="134">
        <v>0</v>
      </c>
      <c r="U116" s="134">
        <v>10</v>
      </c>
      <c r="V116" s="134">
        <v>0</v>
      </c>
      <c r="W116" s="132"/>
      <c r="X116" s="132"/>
      <c r="Y116" s="135"/>
      <c r="Z116" s="136">
        <v>0</v>
      </c>
      <c r="AA116" s="134"/>
      <c r="AB116" s="133"/>
      <c r="AC116" s="137"/>
      <c r="AD116" s="138">
        <v>0</v>
      </c>
      <c r="AE116" s="165">
        <v>0</v>
      </c>
      <c r="AF116" s="139"/>
      <c r="AG116" s="140"/>
      <c r="AH116" s="140"/>
      <c r="AI116" s="140"/>
      <c r="AJ116" s="140"/>
      <c r="AK116" s="140"/>
      <c r="AL116" s="140"/>
      <c r="AM116" s="140"/>
      <c r="AN116" s="140"/>
      <c r="AO116" s="140"/>
      <c r="AP116" s="140"/>
      <c r="AQ116" s="140"/>
      <c r="AR116" s="140"/>
      <c r="AS116" s="140"/>
      <c r="AT116" s="140"/>
      <c r="AU116" s="140"/>
      <c r="AV116" s="140"/>
      <c r="AW116" s="140"/>
      <c r="AX116" s="140"/>
      <c r="AY116" s="140"/>
      <c r="AZ116" s="140"/>
      <c r="BA116" s="140"/>
      <c r="BB116" s="140"/>
      <c r="BC116" s="140"/>
      <c r="BD116" s="140"/>
      <c r="BE116" s="140"/>
      <c r="BF116" s="140"/>
      <c r="BG116" s="140"/>
      <c r="BH116" s="140"/>
      <c r="BI116" s="140"/>
      <c r="BJ116" s="140"/>
      <c r="BK116" s="140"/>
      <c r="BL116" s="140"/>
      <c r="BM116" s="140"/>
      <c r="BN116" s="140"/>
      <c r="BO116" s="140"/>
      <c r="BP116" s="140"/>
      <c r="BQ116" s="140"/>
      <c r="BR116" s="140" t="str">
        <f>" " &amp; TEXT(AE116,"#0.00%") &amp; " " &amp; "user lib 구성 3" &amp; " " &amp; IF(P116="","",TEXT(P116,"M/D-")) &amp; IF(Q116="","",TEXT(Q116,"M/D")) &amp; " "</f>
        <v xml:space="preserve"> 0.00% user lib 구성 3 9/27-10/8 </v>
      </c>
      <c r="BS116" s="140"/>
      <c r="BT116" s="140"/>
      <c r="BU116" s="140"/>
      <c r="BV116" s="140"/>
      <c r="BW116" s="140"/>
      <c r="BX116" s="140"/>
      <c r="BY116" s="140"/>
      <c r="BZ116" s="140"/>
      <c r="CA116" s="140"/>
      <c r="CB116" s="140"/>
      <c r="CC116" s="140"/>
      <c r="CD116" s="140"/>
      <c r="CE116" s="140"/>
      <c r="CF116" s="140"/>
    </row>
    <row r="117" spans="1:84" ht="12" customHeight="1" outlineLevel="3">
      <c r="A117" s="129"/>
      <c r="B117" s="129" t="s">
        <v>1345</v>
      </c>
      <c r="C117" s="129">
        <v>4</v>
      </c>
      <c r="D117" s="130" t="s">
        <v>1751</v>
      </c>
      <c r="E117" s="131"/>
      <c r="F117" s="131"/>
      <c r="G117" s="131"/>
      <c r="H117" s="131" t="s">
        <v>1409</v>
      </c>
      <c r="I117" s="131"/>
      <c r="J117" s="131"/>
      <c r="K117" s="131"/>
      <c r="L117" s="131"/>
      <c r="M117" s="131"/>
      <c r="N117" s="131"/>
      <c r="O117" s="131"/>
      <c r="P117" s="132">
        <v>44480</v>
      </c>
      <c r="Q117" s="132">
        <v>44505</v>
      </c>
      <c r="R117" s="133"/>
      <c r="S117" s="134">
        <v>20</v>
      </c>
      <c r="T117" s="134">
        <v>0</v>
      </c>
      <c r="U117" s="134">
        <v>20</v>
      </c>
      <c r="V117" s="134">
        <v>0</v>
      </c>
      <c r="W117" s="132"/>
      <c r="X117" s="132"/>
      <c r="Y117" s="135">
        <v>0</v>
      </c>
      <c r="Z117" s="136">
        <v>0</v>
      </c>
      <c r="AA117" s="134"/>
      <c r="AB117" s="133" t="s">
        <v>1410</v>
      </c>
      <c r="AC117" s="137"/>
      <c r="AD117" s="138">
        <v>0</v>
      </c>
      <c r="AE117" s="192">
        <v>0</v>
      </c>
      <c r="AF117" s="139"/>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c r="BC117" s="140"/>
      <c r="BD117" s="140"/>
      <c r="BE117" s="140"/>
      <c r="BF117" s="140"/>
      <c r="BG117" s="140"/>
      <c r="BH117" s="140"/>
      <c r="BI117" s="140"/>
      <c r="BJ117" s="140"/>
      <c r="BK117" s="140"/>
      <c r="BL117" s="140"/>
      <c r="BM117" s="140"/>
      <c r="BN117" s="140"/>
      <c r="BO117" s="140"/>
      <c r="BP117" s="140"/>
      <c r="BQ117" s="140"/>
      <c r="BR117" s="140"/>
      <c r="BS117" s="140"/>
      <c r="BT117" s="140" t="str">
        <f>" " &amp; TEXT(AE117,"#0.00%") &amp; " "</f>
        <v xml:space="preserve"> 0.00% </v>
      </c>
      <c r="BU117" s="140"/>
      <c r="BV117" s="140"/>
      <c r="BW117" s="140" t="str">
        <f>"      " &amp; "연동 테스트" &amp; "(신용윤)" &amp; " " &amp; IF(P117="","",TEXT(P117,"M/D-")) &amp; IF(Q117="","",TEXT(Q117,"M/D")) &amp; " "</f>
        <v xml:space="preserve">      연동 테스트(신용윤) 10/11-11/5 </v>
      </c>
      <c r="BX117" s="140"/>
      <c r="BY117" s="140"/>
      <c r="BZ117" s="140"/>
      <c r="CA117" s="140"/>
      <c r="CB117" s="140"/>
      <c r="CC117" s="140"/>
      <c r="CD117" s="140"/>
      <c r="CE117" s="140"/>
      <c r="CF117" s="140"/>
    </row>
    <row r="118" spans="1:84" ht="12" customHeight="1" outlineLevel="4">
      <c r="A118" s="129"/>
      <c r="B118" s="129"/>
      <c r="C118" s="129">
        <v>5</v>
      </c>
      <c r="D118" s="130" t="s">
        <v>1752</v>
      </c>
      <c r="E118" s="131"/>
      <c r="F118" s="131"/>
      <c r="G118" s="131"/>
      <c r="H118" s="131"/>
      <c r="I118" s="131" t="s">
        <v>1590</v>
      </c>
      <c r="J118" s="131"/>
      <c r="K118" s="131"/>
      <c r="L118" s="131"/>
      <c r="M118" s="131"/>
      <c r="N118" s="131"/>
      <c r="O118" s="131"/>
      <c r="P118" s="224">
        <v>44480</v>
      </c>
      <c r="Q118" s="224">
        <v>44491</v>
      </c>
      <c r="R118" s="133"/>
      <c r="S118" s="134">
        <v>10</v>
      </c>
      <c r="T118" s="134">
        <v>0</v>
      </c>
      <c r="U118" s="134">
        <v>10</v>
      </c>
      <c r="V118" s="134">
        <v>0</v>
      </c>
      <c r="W118" s="132"/>
      <c r="X118" s="132"/>
      <c r="Y118" s="135"/>
      <c r="Z118" s="136">
        <v>0</v>
      </c>
      <c r="AA118" s="134"/>
      <c r="AB118" s="133"/>
      <c r="AC118" s="137"/>
      <c r="AD118" s="138">
        <v>0</v>
      </c>
      <c r="AE118" s="165">
        <v>0</v>
      </c>
      <c r="AF118" s="139"/>
      <c r="AG118" s="140"/>
      <c r="AH118" s="140"/>
      <c r="AI118" s="140"/>
      <c r="AJ118" s="140"/>
      <c r="AK118" s="140"/>
      <c r="AL118" s="140"/>
      <c r="AM118" s="140"/>
      <c r="AN118" s="140"/>
      <c r="AO118" s="140"/>
      <c r="AP118" s="140"/>
      <c r="AQ118" s="140"/>
      <c r="AR118" s="140"/>
      <c r="AS118" s="140"/>
      <c r="AT118" s="140"/>
      <c r="AU118" s="140"/>
      <c r="AV118" s="140"/>
      <c r="AW118" s="140"/>
      <c r="AX118" s="140"/>
      <c r="AY118" s="140"/>
      <c r="AZ118" s="140"/>
      <c r="BA118" s="140"/>
      <c r="BB118" s="140"/>
      <c r="BC118" s="140"/>
      <c r="BD118" s="140"/>
      <c r="BE118" s="140"/>
      <c r="BF118" s="140"/>
      <c r="BG118" s="140"/>
      <c r="BH118" s="140"/>
      <c r="BI118" s="140"/>
      <c r="BJ118" s="140"/>
      <c r="BK118" s="140"/>
      <c r="BL118" s="140"/>
      <c r="BM118" s="140"/>
      <c r="BN118" s="140"/>
      <c r="BO118" s="140"/>
      <c r="BP118" s="140"/>
      <c r="BQ118" s="140"/>
      <c r="BR118" s="140"/>
      <c r="BS118" s="140"/>
      <c r="BT118" s="140" t="str">
        <f>" " &amp; TEXT(AE118,"#0.00%") &amp; " " &amp; "user lib 연동 테스트 1" &amp; " " &amp; IF(P118="","",TEXT(P118,"M/D-")) &amp; IF(Q118="","",TEXT(Q118,"M/D")) &amp; " "</f>
        <v xml:space="preserve"> 0.00% user lib 연동 테스트 1 10/11-10/22 </v>
      </c>
      <c r="BU118" s="140"/>
      <c r="BV118" s="140"/>
      <c r="BW118" s="140"/>
      <c r="BX118" s="140"/>
      <c r="BY118" s="140"/>
      <c r="BZ118" s="140"/>
      <c r="CA118" s="140"/>
      <c r="CB118" s="140"/>
      <c r="CC118" s="140"/>
      <c r="CD118" s="140"/>
      <c r="CE118" s="140"/>
      <c r="CF118" s="140"/>
    </row>
    <row r="119" spans="1:84" ht="12" customHeight="1" outlineLevel="4">
      <c r="A119" s="129"/>
      <c r="B119" s="129"/>
      <c r="C119" s="129">
        <v>5</v>
      </c>
      <c r="D119" s="130" t="s">
        <v>1753</v>
      </c>
      <c r="E119" s="131"/>
      <c r="F119" s="131"/>
      <c r="G119" s="131"/>
      <c r="H119" s="131"/>
      <c r="I119" s="131" t="s">
        <v>1591</v>
      </c>
      <c r="J119" s="131"/>
      <c r="K119" s="131"/>
      <c r="L119" s="131"/>
      <c r="M119" s="131"/>
      <c r="N119" s="131"/>
      <c r="O119" s="131"/>
      <c r="P119" s="224">
        <v>44494</v>
      </c>
      <c r="Q119" s="224">
        <v>44505</v>
      </c>
      <c r="R119" s="133"/>
      <c r="S119" s="134">
        <v>10</v>
      </c>
      <c r="T119" s="134">
        <v>0</v>
      </c>
      <c r="U119" s="134">
        <v>10</v>
      </c>
      <c r="V119" s="134">
        <v>0</v>
      </c>
      <c r="W119" s="132"/>
      <c r="X119" s="132"/>
      <c r="Y119" s="135"/>
      <c r="Z119" s="136">
        <v>0</v>
      </c>
      <c r="AA119" s="134"/>
      <c r="AB119" s="133"/>
      <c r="AC119" s="137"/>
      <c r="AD119" s="138">
        <v>0</v>
      </c>
      <c r="AE119" s="165">
        <v>0</v>
      </c>
      <c r="AF119" s="139"/>
      <c r="AG119" s="140"/>
      <c r="AH119" s="140"/>
      <c r="AI119" s="140"/>
      <c r="AJ119" s="140"/>
      <c r="AK119" s="140"/>
      <c r="AL119" s="140"/>
      <c r="AM119" s="140"/>
      <c r="AN119" s="140"/>
      <c r="AO119" s="140"/>
      <c r="AP119" s="140"/>
      <c r="AQ119" s="140"/>
      <c r="AR119" s="140"/>
      <c r="AS119" s="140"/>
      <c r="AT119" s="140"/>
      <c r="AU119" s="140"/>
      <c r="AV119" s="140"/>
      <c r="AW119" s="140"/>
      <c r="AX119" s="140"/>
      <c r="AY119" s="140"/>
      <c r="AZ119" s="140"/>
      <c r="BA119" s="140"/>
      <c r="BB119" s="140"/>
      <c r="BC119" s="140"/>
      <c r="BD119" s="140"/>
      <c r="BE119" s="140"/>
      <c r="BF119" s="140"/>
      <c r="BG119" s="140"/>
      <c r="BH119" s="140"/>
      <c r="BI119" s="140"/>
      <c r="BJ119" s="140"/>
      <c r="BK119" s="140"/>
      <c r="BL119" s="140"/>
      <c r="BM119" s="140"/>
      <c r="BN119" s="140"/>
      <c r="BO119" s="140"/>
      <c r="BP119" s="140"/>
      <c r="BQ119" s="140"/>
      <c r="BR119" s="140"/>
      <c r="BS119" s="140"/>
      <c r="BT119" s="140"/>
      <c r="BU119" s="140"/>
      <c r="BV119" s="140" t="str">
        <f>" " &amp; TEXT(AE119,"#0.00%") &amp; " " &amp; "user lib 연동 테스트 2" &amp; " " &amp; IF(P119="","",TEXT(P119,"M/D-")) &amp; IF(Q119="","",TEXT(Q119,"M/D")) &amp; " "</f>
        <v xml:space="preserve"> 0.00% user lib 연동 테스트 2 10/25-11/5 </v>
      </c>
      <c r="BW119" s="140"/>
      <c r="BX119" s="140"/>
      <c r="BY119" s="140"/>
      <c r="BZ119" s="140"/>
      <c r="CA119" s="140"/>
      <c r="CB119" s="140"/>
      <c r="CC119" s="140"/>
      <c r="CD119" s="140"/>
      <c r="CE119" s="140"/>
      <c r="CF119" s="140"/>
    </row>
    <row r="120" spans="1:84" ht="12" customHeight="1" outlineLevel="1">
      <c r="A120" s="129"/>
      <c r="B120" s="129" t="s">
        <v>1345</v>
      </c>
      <c r="C120" s="129">
        <v>2</v>
      </c>
      <c r="D120" s="130" t="s">
        <v>1069</v>
      </c>
      <c r="E120" s="131"/>
      <c r="F120" s="131" t="s">
        <v>1407</v>
      </c>
      <c r="G120" s="131"/>
      <c r="H120" s="131"/>
      <c r="I120" s="131"/>
      <c r="J120" s="131"/>
      <c r="K120" s="131"/>
      <c r="L120" s="131"/>
      <c r="M120" s="131"/>
      <c r="N120" s="131"/>
      <c r="O120" s="131"/>
      <c r="P120" s="132">
        <v>44200</v>
      </c>
      <c r="Q120" s="132">
        <v>44561</v>
      </c>
      <c r="R120" s="133"/>
      <c r="S120" s="134">
        <v>247</v>
      </c>
      <c r="T120" s="134">
        <v>26</v>
      </c>
      <c r="U120" s="134">
        <v>252</v>
      </c>
      <c r="V120" s="134">
        <v>26</v>
      </c>
      <c r="W120" s="132"/>
      <c r="X120" s="132"/>
      <c r="Y120" s="135">
        <v>0</v>
      </c>
      <c r="Z120" s="136">
        <v>0</v>
      </c>
      <c r="AA120" s="134"/>
      <c r="AB120" s="133" t="s">
        <v>1405</v>
      </c>
      <c r="AC120" s="137"/>
      <c r="AD120" s="138">
        <v>0.10526315789473684</v>
      </c>
      <c r="AE120" s="194">
        <v>0</v>
      </c>
      <c r="AF120" s="139" t="str">
        <f>" " &amp; TEXT(AE120,"#0.00%") &amp; " "</f>
        <v xml:space="preserve"> 0.00% </v>
      </c>
      <c r="AG120" s="140"/>
      <c r="AH120" s="140"/>
      <c r="AI120" s="140"/>
      <c r="AJ120" s="140"/>
      <c r="AK120" s="140"/>
      <c r="AL120" s="140"/>
      <c r="AM120" s="140"/>
      <c r="AN120" s="140"/>
      <c r="AO120" s="140"/>
      <c r="AP120" s="140"/>
      <c r="AQ120" s="140"/>
      <c r="AR120" s="140"/>
      <c r="AS120" s="140"/>
      <c r="AT120" s="140"/>
      <c r="AU120" s="140"/>
      <c r="AV120" s="140"/>
      <c r="AW120" s="140"/>
      <c r="AX120" s="140"/>
      <c r="AY120" s="140"/>
      <c r="AZ120" s="140"/>
      <c r="BA120" s="140"/>
      <c r="BB120" s="140"/>
      <c r="BC120" s="140"/>
      <c r="BD120" s="140"/>
      <c r="BE120" s="140"/>
      <c r="BF120" s="140"/>
      <c r="BG120" s="140"/>
      <c r="BH120" s="140"/>
      <c r="BI120" s="140"/>
      <c r="BJ120" s="140"/>
      <c r="BK120" s="140"/>
      <c r="BL120" s="140"/>
      <c r="BM120" s="140"/>
      <c r="BN120" s="140"/>
      <c r="BO120" s="140"/>
      <c r="BP120" s="140"/>
      <c r="BQ120" s="140"/>
      <c r="BR120" s="140"/>
      <c r="BS120" s="140"/>
      <c r="BT120" s="140"/>
      <c r="BU120" s="140"/>
      <c r="BV120" s="140"/>
      <c r="BW120" s="140"/>
      <c r="BX120" s="140"/>
      <c r="BY120" s="140"/>
      <c r="BZ120" s="140"/>
      <c r="CA120" s="140"/>
      <c r="CB120" s="140"/>
      <c r="CC120" s="140"/>
      <c r="CD120" s="140"/>
      <c r="CE120" s="140" t="str">
        <f>"      " &amp; "성능개선 (프레임워크 core enabler 고도화)" &amp; "(박세형)" &amp; " " &amp; IF(P120="","",TEXT(P120,"M/D-")) &amp; IF(Q120="","",TEXT(Q120,"M/D")) &amp; " "</f>
        <v xml:space="preserve">      성능개선 (프레임워크 core enabler 고도화)(박세형) 1/4-12/31 </v>
      </c>
      <c r="CF120" s="140"/>
    </row>
    <row r="121" spans="1:84" ht="12" customHeight="1" outlineLevel="2">
      <c r="A121" s="129"/>
      <c r="B121" s="129" t="s">
        <v>1345</v>
      </c>
      <c r="C121" s="129">
        <v>3</v>
      </c>
      <c r="D121" s="130" t="s">
        <v>1070</v>
      </c>
      <c r="E121" s="131"/>
      <c r="F121" s="131"/>
      <c r="G121" s="131" t="s">
        <v>1387</v>
      </c>
      <c r="H121" s="131"/>
      <c r="I121" s="131"/>
      <c r="J121" s="131"/>
      <c r="K121" s="131"/>
      <c r="L121" s="131"/>
      <c r="M121" s="131"/>
      <c r="N121" s="131"/>
      <c r="O121" s="131"/>
      <c r="P121" s="132">
        <v>44200</v>
      </c>
      <c r="Q121" s="132">
        <v>44561</v>
      </c>
      <c r="R121" s="133"/>
      <c r="S121" s="134">
        <v>247</v>
      </c>
      <c r="T121" s="134">
        <v>26</v>
      </c>
      <c r="U121" s="134">
        <v>252</v>
      </c>
      <c r="V121" s="134">
        <v>26</v>
      </c>
      <c r="W121" s="132"/>
      <c r="X121" s="132"/>
      <c r="Y121" s="135">
        <v>0</v>
      </c>
      <c r="Z121" s="136">
        <v>0</v>
      </c>
      <c r="AA121" s="134"/>
      <c r="AB121" s="133" t="s">
        <v>1405</v>
      </c>
      <c r="AC121" s="137"/>
      <c r="AD121" s="138">
        <v>0.10526315789473684</v>
      </c>
      <c r="AE121" s="194">
        <v>0</v>
      </c>
      <c r="AF121" s="139" t="str">
        <f>" " &amp; TEXT(AE121,"#0.00%") &amp; " "</f>
        <v xml:space="preserve"> 0.00% </v>
      </c>
      <c r="AG121" s="140"/>
      <c r="AH121" s="140"/>
      <c r="AI121" s="140"/>
      <c r="AJ121" s="140"/>
      <c r="AK121" s="140"/>
      <c r="AL121" s="140"/>
      <c r="AM121" s="140"/>
      <c r="AN121" s="140"/>
      <c r="AO121" s="140"/>
      <c r="AP121" s="140"/>
      <c r="AQ121" s="140"/>
      <c r="AR121" s="140"/>
      <c r="AS121" s="140"/>
      <c r="AT121" s="140"/>
      <c r="AU121" s="140"/>
      <c r="AV121" s="140"/>
      <c r="AW121" s="140"/>
      <c r="AX121" s="140"/>
      <c r="AY121" s="140"/>
      <c r="AZ121" s="140"/>
      <c r="BA121" s="140"/>
      <c r="BB121" s="140"/>
      <c r="BC121" s="140"/>
      <c r="BD121" s="140"/>
      <c r="BE121" s="140"/>
      <c r="BF121" s="140"/>
      <c r="BG121" s="140"/>
      <c r="BH121" s="140"/>
      <c r="BI121" s="140"/>
      <c r="BJ121" s="140"/>
      <c r="BK121" s="140"/>
      <c r="BL121" s="140"/>
      <c r="BM121" s="140"/>
      <c r="BN121" s="140"/>
      <c r="BO121" s="140"/>
      <c r="BP121" s="140"/>
      <c r="BQ121" s="140"/>
      <c r="BR121" s="140"/>
      <c r="BS121" s="140"/>
      <c r="BT121" s="140"/>
      <c r="BU121" s="140"/>
      <c r="BV121" s="140"/>
      <c r="BW121" s="140"/>
      <c r="BX121" s="140"/>
      <c r="BY121" s="140"/>
      <c r="BZ121" s="140"/>
      <c r="CA121" s="140"/>
      <c r="CB121" s="140"/>
      <c r="CC121" s="140"/>
      <c r="CD121" s="140"/>
      <c r="CE121" s="140" t="str">
        <f>"      " &amp; "최적화/안정화" &amp; "(박세형)" &amp; " " &amp; IF(P121="","",TEXT(P121,"M/D-")) &amp; IF(Q121="","",TEXT(Q121,"M/D")) &amp; " "</f>
        <v xml:space="preserve">      최적화/안정화(박세형) 1/4-12/31 </v>
      </c>
      <c r="CF121" s="140"/>
    </row>
    <row r="122" spans="1:84" ht="12" customHeight="1" outlineLevel="3">
      <c r="A122" s="129"/>
      <c r="B122" s="129" t="s">
        <v>1345</v>
      </c>
      <c r="C122" s="129">
        <v>4</v>
      </c>
      <c r="D122" s="232" t="s">
        <v>1428</v>
      </c>
      <c r="E122" s="233"/>
      <c r="F122" s="233"/>
      <c r="G122" s="233"/>
      <c r="H122" s="233" t="s">
        <v>1437</v>
      </c>
      <c r="I122" s="233"/>
      <c r="J122" s="233"/>
      <c r="K122" s="233"/>
      <c r="L122" s="233"/>
      <c r="M122" s="233"/>
      <c r="N122" s="233"/>
      <c r="O122" s="233"/>
      <c r="P122" s="234">
        <v>44200</v>
      </c>
      <c r="Q122" s="234">
        <v>44281</v>
      </c>
      <c r="R122" s="235"/>
      <c r="S122" s="236">
        <v>57</v>
      </c>
      <c r="T122" s="236">
        <v>26</v>
      </c>
      <c r="U122" s="236">
        <v>57</v>
      </c>
      <c r="V122" s="236">
        <v>26</v>
      </c>
      <c r="W122" s="234"/>
      <c r="X122" s="234"/>
      <c r="Y122" s="237">
        <v>0</v>
      </c>
      <c r="Z122" s="238">
        <v>0</v>
      </c>
      <c r="AA122" s="236"/>
      <c r="AB122" s="235" t="s">
        <v>1405</v>
      </c>
      <c r="AC122" s="239"/>
      <c r="AD122" s="240">
        <v>0.45614035087719296</v>
      </c>
      <c r="AE122" s="194">
        <v>0</v>
      </c>
      <c r="AF122" s="139" t="str">
        <f>" " &amp; TEXT(AE122,"#0.00%") &amp; " "</f>
        <v xml:space="preserve"> 0.00% </v>
      </c>
      <c r="AG122" s="140"/>
      <c r="AH122" s="140"/>
      <c r="AI122" s="140"/>
      <c r="AJ122" s="140"/>
      <c r="AK122" s="140"/>
      <c r="AL122" s="140"/>
      <c r="AM122" s="140"/>
      <c r="AN122" s="140"/>
      <c r="AO122" s="140"/>
      <c r="AP122" s="140"/>
      <c r="AQ122" s="140" t="str">
        <f>"      " &amp; "DIFS 2020 프로파일링" &amp; "(박세형)" &amp; " " &amp; IF(P122="","",TEXT(P122,"M/D-")) &amp; IF(Q122="","",TEXT(Q122,"M/D")) &amp; " "</f>
        <v xml:space="preserve">      DIFS 2020 프로파일링(박세형) 1/4-3/26 </v>
      </c>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c r="BS122" s="140"/>
      <c r="BT122" s="140"/>
      <c r="BU122" s="140"/>
      <c r="BV122" s="140"/>
      <c r="BW122" s="140"/>
      <c r="BX122" s="140"/>
      <c r="BY122" s="140"/>
      <c r="BZ122" s="140"/>
      <c r="CA122" s="140"/>
      <c r="CB122" s="140"/>
      <c r="CC122" s="140"/>
      <c r="CD122" s="140"/>
      <c r="CE122" s="140"/>
      <c r="CF122" s="140"/>
    </row>
    <row r="123" spans="1:84" ht="12" customHeight="1" outlineLevel="4">
      <c r="A123" s="129"/>
      <c r="B123" s="129"/>
      <c r="C123" s="129">
        <v>5</v>
      </c>
      <c r="D123" s="232" t="s">
        <v>1754</v>
      </c>
      <c r="E123" s="233"/>
      <c r="F123" s="233"/>
      <c r="G123" s="233"/>
      <c r="H123" s="233"/>
      <c r="I123" s="233" t="s">
        <v>1592</v>
      </c>
      <c r="J123" s="233"/>
      <c r="K123" s="233"/>
      <c r="L123" s="233"/>
      <c r="M123" s="233"/>
      <c r="N123" s="233"/>
      <c r="O123" s="233"/>
      <c r="P123" s="132">
        <v>44200</v>
      </c>
      <c r="Q123" s="132">
        <v>44211</v>
      </c>
      <c r="R123" s="235"/>
      <c r="S123" s="236">
        <v>10</v>
      </c>
      <c r="T123" s="236">
        <v>10</v>
      </c>
      <c r="U123" s="236">
        <v>10</v>
      </c>
      <c r="V123" s="236">
        <v>10</v>
      </c>
      <c r="W123" s="234"/>
      <c r="X123" s="234"/>
      <c r="Y123" s="237"/>
      <c r="Z123" s="238">
        <v>0</v>
      </c>
      <c r="AA123" s="236"/>
      <c r="AB123" s="235"/>
      <c r="AC123" s="239"/>
      <c r="AD123" s="240">
        <v>1</v>
      </c>
      <c r="AE123" s="193">
        <v>0</v>
      </c>
      <c r="AF123" s="139" t="str">
        <f>" " &amp; TEXT(AE123,"#0.00%") &amp; " " &amp; "DIFS 2020 프로파일링 결과 분석 1" &amp; " " &amp; IF(P123="","",TEXT(P123,"M/D-")) &amp; IF(Q123="","",TEXT(Q123,"M/D")) &amp; " "</f>
        <v xml:space="preserve"> 0.00% DIFS 2020 프로파일링 결과 분석 1 1/4-1/15 </v>
      </c>
      <c r="AG123" s="140"/>
      <c r="AH123" s="140"/>
      <c r="AI123" s="140"/>
      <c r="AJ123" s="140"/>
      <c r="AK123" s="140"/>
      <c r="AL123" s="140"/>
      <c r="AM123" s="140"/>
      <c r="AN123" s="140"/>
      <c r="AO123" s="140"/>
      <c r="AP123" s="140"/>
      <c r="AQ123" s="140"/>
      <c r="AR123" s="140"/>
      <c r="AS123" s="140"/>
      <c r="AT123" s="140"/>
      <c r="AU123" s="140"/>
      <c r="AV123" s="140"/>
      <c r="AW123" s="140"/>
      <c r="AX123" s="140"/>
      <c r="AY123" s="140"/>
      <c r="AZ123" s="140"/>
      <c r="BA123" s="140"/>
      <c r="BB123" s="140"/>
      <c r="BC123" s="140"/>
      <c r="BD123" s="140"/>
      <c r="BE123" s="140"/>
      <c r="BF123" s="140"/>
      <c r="BG123" s="140"/>
      <c r="BH123" s="140"/>
      <c r="BI123" s="140"/>
      <c r="BJ123" s="140"/>
      <c r="BK123" s="140"/>
      <c r="BL123" s="140"/>
      <c r="BM123" s="140"/>
      <c r="BN123" s="140"/>
      <c r="BO123" s="140"/>
      <c r="BP123" s="140"/>
      <c r="BQ123" s="140"/>
      <c r="BR123" s="140"/>
      <c r="BS123" s="140"/>
      <c r="BT123" s="140"/>
      <c r="BU123" s="140"/>
      <c r="BV123" s="140"/>
      <c r="BW123" s="140"/>
      <c r="BX123" s="140"/>
      <c r="BY123" s="140"/>
      <c r="BZ123" s="140"/>
      <c r="CA123" s="140"/>
      <c r="CB123" s="140"/>
      <c r="CC123" s="140"/>
      <c r="CD123" s="140"/>
      <c r="CE123" s="140"/>
      <c r="CF123" s="140"/>
    </row>
    <row r="124" spans="1:84" ht="12" customHeight="1" outlineLevel="4">
      <c r="A124" s="129"/>
      <c r="B124" s="129"/>
      <c r="C124" s="129">
        <v>5</v>
      </c>
      <c r="D124" s="232" t="s">
        <v>1755</v>
      </c>
      <c r="E124" s="233"/>
      <c r="F124" s="233"/>
      <c r="G124" s="233"/>
      <c r="H124" s="233"/>
      <c r="I124" s="233" t="s">
        <v>1593</v>
      </c>
      <c r="J124" s="233"/>
      <c r="K124" s="233"/>
      <c r="L124" s="233"/>
      <c r="M124" s="233"/>
      <c r="N124" s="233"/>
      <c r="O124" s="233"/>
      <c r="P124" s="132">
        <v>44214</v>
      </c>
      <c r="Q124" s="132">
        <v>44225</v>
      </c>
      <c r="R124" s="235"/>
      <c r="S124" s="236">
        <v>10</v>
      </c>
      <c r="T124" s="236">
        <v>10</v>
      </c>
      <c r="U124" s="236">
        <v>10</v>
      </c>
      <c r="V124" s="236">
        <v>10</v>
      </c>
      <c r="W124" s="234"/>
      <c r="X124" s="234"/>
      <c r="Y124" s="237"/>
      <c r="Z124" s="238">
        <v>0</v>
      </c>
      <c r="AA124" s="236"/>
      <c r="AB124" s="235"/>
      <c r="AC124" s="239"/>
      <c r="AD124" s="240">
        <v>1</v>
      </c>
      <c r="AE124" s="193">
        <v>0</v>
      </c>
      <c r="AF124" s="139"/>
      <c r="AG124" s="140"/>
      <c r="AH124" s="140" t="str">
        <f>" " &amp; TEXT(AE124,"#0.00%") &amp; " " &amp; "DIFS 2020 프로파일링 결과 분석 2" &amp; " " &amp; IF(P124="","",TEXT(P124,"M/D-")) &amp; IF(Q124="","",TEXT(Q124,"M/D")) &amp; " "</f>
        <v xml:space="preserve"> 0.00% DIFS 2020 프로파일링 결과 분석 2 1/18-1/29 </v>
      </c>
      <c r="AI124" s="140"/>
      <c r="AJ124" s="140"/>
      <c r="AK124" s="140"/>
      <c r="AL124" s="140"/>
      <c r="AM124" s="140"/>
      <c r="AN124" s="140"/>
      <c r="AO124" s="140"/>
      <c r="AP124" s="140"/>
      <c r="AQ124" s="140"/>
      <c r="AR124" s="140"/>
      <c r="AS124" s="140"/>
      <c r="AT124" s="140"/>
      <c r="AU124" s="140"/>
      <c r="AV124" s="140"/>
      <c r="AW124" s="140"/>
      <c r="AX124" s="140"/>
      <c r="AY124" s="140"/>
      <c r="AZ124" s="140"/>
      <c r="BA124" s="140"/>
      <c r="BB124" s="140"/>
      <c r="BC124" s="140"/>
      <c r="BD124" s="140"/>
      <c r="BE124" s="140"/>
      <c r="BF124" s="140"/>
      <c r="BG124" s="140"/>
      <c r="BH124" s="140"/>
      <c r="BI124" s="140"/>
      <c r="BJ124" s="140"/>
      <c r="BK124" s="140"/>
      <c r="BL124" s="140"/>
      <c r="BM124" s="140"/>
      <c r="BN124" s="140"/>
      <c r="BO124" s="140"/>
      <c r="BP124" s="140"/>
      <c r="BQ124" s="140"/>
      <c r="BR124" s="140"/>
      <c r="BS124" s="140"/>
      <c r="BT124" s="140"/>
      <c r="BU124" s="140"/>
      <c r="BV124" s="140"/>
      <c r="BW124" s="140"/>
      <c r="BX124" s="140"/>
      <c r="BY124" s="140"/>
      <c r="BZ124" s="140"/>
      <c r="CA124" s="140"/>
      <c r="CB124" s="140"/>
      <c r="CC124" s="140"/>
      <c r="CD124" s="140"/>
      <c r="CE124" s="140"/>
      <c r="CF124" s="140"/>
    </row>
    <row r="125" spans="1:84" ht="12" customHeight="1" outlineLevel="4">
      <c r="A125" s="129"/>
      <c r="B125" s="129"/>
      <c r="C125" s="129">
        <v>5</v>
      </c>
      <c r="D125" s="232" t="s">
        <v>1756</v>
      </c>
      <c r="E125" s="233"/>
      <c r="F125" s="233"/>
      <c r="G125" s="233"/>
      <c r="H125" s="233"/>
      <c r="I125" s="233" t="s">
        <v>1594</v>
      </c>
      <c r="J125" s="233"/>
      <c r="K125" s="233"/>
      <c r="L125" s="233"/>
      <c r="M125" s="233"/>
      <c r="N125" s="233"/>
      <c r="O125" s="233"/>
      <c r="P125" s="132">
        <v>44228</v>
      </c>
      <c r="Q125" s="132">
        <v>44239</v>
      </c>
      <c r="R125" s="235"/>
      <c r="S125" s="236">
        <v>8</v>
      </c>
      <c r="T125" s="236">
        <v>6</v>
      </c>
      <c r="U125" s="236">
        <v>8</v>
      </c>
      <c r="V125" s="236">
        <v>6</v>
      </c>
      <c r="W125" s="234"/>
      <c r="X125" s="234"/>
      <c r="Y125" s="237"/>
      <c r="Z125" s="238">
        <v>0</v>
      </c>
      <c r="AA125" s="236"/>
      <c r="AB125" s="235"/>
      <c r="AC125" s="239"/>
      <c r="AD125" s="240">
        <v>0.75</v>
      </c>
      <c r="AE125" s="193">
        <v>0</v>
      </c>
      <c r="AF125" s="139"/>
      <c r="AG125" s="140"/>
      <c r="AH125" s="140"/>
      <c r="AI125" s="140"/>
      <c r="AJ125" s="140" t="str">
        <f>" " &amp; TEXT(AE125,"#0.00%") &amp; " " &amp; "DIFS 2020 프로파일링 결과 분석 3" &amp; " " &amp; IF(P125="","",TEXT(P125,"M/D-")) &amp; IF(Q125="","",TEXT(Q125,"M/D")) &amp; " "</f>
        <v xml:space="preserve"> 0.00% DIFS 2020 프로파일링 결과 분석 3 2/1-2/12 </v>
      </c>
      <c r="AK125" s="140"/>
      <c r="AL125" s="140"/>
      <c r="AM125" s="140"/>
      <c r="AN125" s="140"/>
      <c r="AO125" s="140"/>
      <c r="AP125" s="140"/>
      <c r="AQ125" s="140"/>
      <c r="AR125" s="140"/>
      <c r="AS125" s="140"/>
      <c r="AT125" s="140"/>
      <c r="AU125" s="140"/>
      <c r="AV125" s="140"/>
      <c r="AW125" s="140"/>
      <c r="AX125" s="140"/>
      <c r="AY125" s="140"/>
      <c r="AZ125" s="140"/>
      <c r="BA125" s="140"/>
      <c r="BB125" s="140"/>
      <c r="BC125" s="140"/>
      <c r="BD125" s="140"/>
      <c r="BE125" s="140"/>
      <c r="BF125" s="140"/>
      <c r="BG125" s="140"/>
      <c r="BH125" s="140"/>
      <c r="BI125" s="140"/>
      <c r="BJ125" s="140"/>
      <c r="BK125" s="140"/>
      <c r="BL125" s="140"/>
      <c r="BM125" s="140"/>
      <c r="BN125" s="140"/>
      <c r="BO125" s="140"/>
      <c r="BP125" s="140"/>
      <c r="BQ125" s="140"/>
      <c r="BR125" s="140"/>
      <c r="BS125" s="140"/>
      <c r="BT125" s="140"/>
      <c r="BU125" s="140"/>
      <c r="BV125" s="140"/>
      <c r="BW125" s="140"/>
      <c r="BX125" s="140"/>
      <c r="BY125" s="140"/>
      <c r="BZ125" s="140"/>
      <c r="CA125" s="140"/>
      <c r="CB125" s="140"/>
      <c r="CC125" s="140"/>
      <c r="CD125" s="140"/>
      <c r="CE125" s="140"/>
      <c r="CF125" s="140"/>
    </row>
    <row r="126" spans="1:84" ht="12" customHeight="1" outlineLevel="4">
      <c r="A126" s="129"/>
      <c r="B126" s="129"/>
      <c r="C126" s="129">
        <v>5</v>
      </c>
      <c r="D126" s="232" t="s">
        <v>1757</v>
      </c>
      <c r="E126" s="233"/>
      <c r="F126" s="233"/>
      <c r="G126" s="233"/>
      <c r="H126" s="233"/>
      <c r="I126" s="233" t="s">
        <v>1595</v>
      </c>
      <c r="J126" s="233"/>
      <c r="K126" s="233"/>
      <c r="L126" s="233"/>
      <c r="M126" s="233"/>
      <c r="N126" s="233"/>
      <c r="O126" s="233"/>
      <c r="P126" s="132">
        <v>44242</v>
      </c>
      <c r="Q126" s="132">
        <v>44253</v>
      </c>
      <c r="R126" s="235"/>
      <c r="S126" s="236">
        <v>10</v>
      </c>
      <c r="T126" s="236">
        <v>0</v>
      </c>
      <c r="U126" s="236">
        <v>10</v>
      </c>
      <c r="V126" s="236">
        <v>0</v>
      </c>
      <c r="W126" s="234"/>
      <c r="X126" s="234"/>
      <c r="Y126" s="237"/>
      <c r="Z126" s="238">
        <v>0</v>
      </c>
      <c r="AA126" s="236"/>
      <c r="AB126" s="235"/>
      <c r="AC126" s="239"/>
      <c r="AD126" s="240">
        <v>0</v>
      </c>
      <c r="AE126" s="165">
        <v>0</v>
      </c>
      <c r="AF126" s="139"/>
      <c r="AG126" s="140"/>
      <c r="AH126" s="140"/>
      <c r="AI126" s="140"/>
      <c r="AJ126" s="140"/>
      <c r="AK126" s="140"/>
      <c r="AL126" s="140" t="str">
        <f>" " &amp; TEXT(AE126,"#0.00%") &amp; " " &amp; "DIFS 2020 프로파일링 결과 분석 4" &amp; " " &amp; IF(P126="","",TEXT(P126,"M/D-")) &amp; IF(Q126="","",TEXT(Q126,"M/D")) &amp; " "</f>
        <v xml:space="preserve"> 0.00% DIFS 2020 프로파일링 결과 분석 4 2/15-2/26 </v>
      </c>
      <c r="AM126" s="140"/>
      <c r="AN126" s="140"/>
      <c r="AO126" s="140"/>
      <c r="AP126" s="140"/>
      <c r="AQ126" s="140"/>
      <c r="AR126" s="140"/>
      <c r="AS126" s="140"/>
      <c r="AT126" s="140"/>
      <c r="AU126" s="140"/>
      <c r="AV126" s="140"/>
      <c r="AW126" s="140"/>
      <c r="AX126" s="140"/>
      <c r="AY126" s="140"/>
      <c r="AZ126" s="140"/>
      <c r="BA126" s="140"/>
      <c r="BB126" s="140"/>
      <c r="BC126" s="140"/>
      <c r="BD126" s="140"/>
      <c r="BE126" s="140"/>
      <c r="BF126" s="140"/>
      <c r="BG126" s="140"/>
      <c r="BH126" s="140"/>
      <c r="BI126" s="140"/>
      <c r="BJ126" s="140"/>
      <c r="BK126" s="140"/>
      <c r="BL126" s="140"/>
      <c r="BM126" s="140"/>
      <c r="BN126" s="140"/>
      <c r="BO126" s="140"/>
      <c r="BP126" s="140"/>
      <c r="BQ126" s="140"/>
      <c r="BR126" s="140"/>
      <c r="BS126" s="140"/>
      <c r="BT126" s="140"/>
      <c r="BU126" s="140"/>
      <c r="BV126" s="140"/>
      <c r="BW126" s="140"/>
      <c r="BX126" s="140"/>
      <c r="BY126" s="140"/>
      <c r="BZ126" s="140"/>
      <c r="CA126" s="140"/>
      <c r="CB126" s="140"/>
      <c r="CC126" s="140"/>
      <c r="CD126" s="140"/>
      <c r="CE126" s="140"/>
      <c r="CF126" s="140"/>
    </row>
    <row r="127" spans="1:84" ht="12" customHeight="1" outlineLevel="4">
      <c r="A127" s="129"/>
      <c r="B127" s="129"/>
      <c r="C127" s="129">
        <v>5</v>
      </c>
      <c r="D127" s="232" t="s">
        <v>1758</v>
      </c>
      <c r="E127" s="233"/>
      <c r="F127" s="233"/>
      <c r="G127" s="233"/>
      <c r="H127" s="233"/>
      <c r="I127" s="233" t="s">
        <v>1596</v>
      </c>
      <c r="J127" s="233"/>
      <c r="K127" s="233"/>
      <c r="L127" s="233"/>
      <c r="M127" s="233"/>
      <c r="N127" s="233"/>
      <c r="O127" s="233"/>
      <c r="P127" s="132">
        <v>44256</v>
      </c>
      <c r="Q127" s="132">
        <v>44267</v>
      </c>
      <c r="R127" s="235"/>
      <c r="S127" s="236">
        <v>9</v>
      </c>
      <c r="T127" s="236">
        <v>0</v>
      </c>
      <c r="U127" s="236">
        <v>9</v>
      </c>
      <c r="V127" s="236">
        <v>0</v>
      </c>
      <c r="W127" s="234"/>
      <c r="X127" s="234"/>
      <c r="Y127" s="237"/>
      <c r="Z127" s="238">
        <v>0</v>
      </c>
      <c r="AA127" s="236"/>
      <c r="AB127" s="235"/>
      <c r="AC127" s="239"/>
      <c r="AD127" s="240">
        <v>0</v>
      </c>
      <c r="AE127" s="165">
        <v>0</v>
      </c>
      <c r="AF127" s="139"/>
      <c r="AG127" s="140"/>
      <c r="AH127" s="140"/>
      <c r="AI127" s="140"/>
      <c r="AJ127" s="140"/>
      <c r="AK127" s="140"/>
      <c r="AL127" s="140"/>
      <c r="AM127" s="140"/>
      <c r="AN127" s="140" t="str">
        <f>" " &amp; TEXT(AE127,"#0.00%") &amp; " " &amp; "DIFS 2020 코드 최적화 1" &amp; " " &amp; IF(P127="","",TEXT(P127,"M/D-")) &amp; IF(Q127="","",TEXT(Q127,"M/D")) &amp; " "</f>
        <v xml:space="preserve"> 0.00% DIFS 2020 코드 최적화 1 3/1-3/12 </v>
      </c>
      <c r="AO127" s="140"/>
      <c r="AP127" s="140"/>
      <c r="AQ127" s="140"/>
      <c r="AR127" s="140"/>
      <c r="AS127" s="140"/>
      <c r="AT127" s="140"/>
      <c r="AU127" s="140"/>
      <c r="AV127" s="140"/>
      <c r="AW127" s="140"/>
      <c r="AX127" s="140"/>
      <c r="AY127" s="140"/>
      <c r="AZ127" s="140"/>
      <c r="BA127" s="140"/>
      <c r="BB127" s="140"/>
      <c r="BC127" s="140"/>
      <c r="BD127" s="140"/>
      <c r="BE127" s="140"/>
      <c r="BF127" s="140"/>
      <c r="BG127" s="140"/>
      <c r="BH127" s="140"/>
      <c r="BI127" s="140"/>
      <c r="BJ127" s="140"/>
      <c r="BK127" s="140"/>
      <c r="BL127" s="140"/>
      <c r="BM127" s="140"/>
      <c r="BN127" s="140"/>
      <c r="BO127" s="140"/>
      <c r="BP127" s="140"/>
      <c r="BQ127" s="140"/>
      <c r="BR127" s="140"/>
      <c r="BS127" s="140"/>
      <c r="BT127" s="140"/>
      <c r="BU127" s="140"/>
      <c r="BV127" s="140"/>
      <c r="BW127" s="140"/>
      <c r="BX127" s="140"/>
      <c r="BY127" s="140"/>
      <c r="BZ127" s="140"/>
      <c r="CA127" s="140"/>
      <c r="CB127" s="140"/>
      <c r="CC127" s="140"/>
      <c r="CD127" s="140"/>
      <c r="CE127" s="140"/>
      <c r="CF127" s="140"/>
    </row>
    <row r="128" spans="1:84" ht="12" customHeight="1" outlineLevel="4">
      <c r="A128" s="129"/>
      <c r="B128" s="129"/>
      <c r="C128" s="129">
        <v>5</v>
      </c>
      <c r="D128" s="232" t="s">
        <v>1759</v>
      </c>
      <c r="E128" s="233"/>
      <c r="F128" s="233"/>
      <c r="G128" s="233"/>
      <c r="H128" s="233"/>
      <c r="I128" s="233" t="s">
        <v>1597</v>
      </c>
      <c r="J128" s="233"/>
      <c r="K128" s="233"/>
      <c r="L128" s="233"/>
      <c r="M128" s="233"/>
      <c r="N128" s="233"/>
      <c r="O128" s="233"/>
      <c r="P128" s="132">
        <v>44270</v>
      </c>
      <c r="Q128" s="132">
        <v>44281</v>
      </c>
      <c r="R128" s="235"/>
      <c r="S128" s="236">
        <v>10</v>
      </c>
      <c r="T128" s="236">
        <v>0</v>
      </c>
      <c r="U128" s="236">
        <v>10</v>
      </c>
      <c r="V128" s="236">
        <v>0</v>
      </c>
      <c r="W128" s="234"/>
      <c r="X128" s="234"/>
      <c r="Y128" s="237"/>
      <c r="Z128" s="238">
        <v>0</v>
      </c>
      <c r="AA128" s="236"/>
      <c r="AB128" s="235"/>
      <c r="AC128" s="239"/>
      <c r="AD128" s="240">
        <v>0</v>
      </c>
      <c r="AE128" s="165">
        <v>0</v>
      </c>
      <c r="AF128" s="139"/>
      <c r="AG128" s="140"/>
      <c r="AH128" s="140"/>
      <c r="AI128" s="140"/>
      <c r="AJ128" s="140"/>
      <c r="AK128" s="140"/>
      <c r="AL128" s="140"/>
      <c r="AM128" s="140"/>
      <c r="AN128" s="140"/>
      <c r="AO128" s="140"/>
      <c r="AP128" s="140" t="str">
        <f>" " &amp; TEXT(AE128,"#0.00%") &amp; " " &amp; "DIFS 2020 코드 최적화 2" &amp; " " &amp; IF(P128="","",TEXT(P128,"M/D-")) &amp; IF(Q128="","",TEXT(Q128,"M/D")) &amp; " "</f>
        <v xml:space="preserve"> 0.00% DIFS 2020 코드 최적화 2 3/15-3/26 </v>
      </c>
      <c r="AQ128" s="140"/>
      <c r="AR128" s="140"/>
      <c r="AS128" s="140"/>
      <c r="AT128" s="140"/>
      <c r="AU128" s="140"/>
      <c r="AV128" s="140"/>
      <c r="AW128" s="140"/>
      <c r="AX128" s="140"/>
      <c r="AY128" s="140"/>
      <c r="AZ128" s="140"/>
      <c r="BA128" s="140"/>
      <c r="BB128" s="140"/>
      <c r="BC128" s="140"/>
      <c r="BD128" s="140"/>
      <c r="BE128" s="140"/>
      <c r="BF128" s="140"/>
      <c r="BG128" s="140"/>
      <c r="BH128" s="140"/>
      <c r="BI128" s="140"/>
      <c r="BJ128" s="140"/>
      <c r="BK128" s="140"/>
      <c r="BL128" s="140"/>
      <c r="BM128" s="140"/>
      <c r="BN128" s="140"/>
      <c r="BO128" s="140"/>
      <c r="BP128" s="140"/>
      <c r="BQ128" s="140"/>
      <c r="BR128" s="140"/>
      <c r="BS128" s="140"/>
      <c r="BT128" s="140"/>
      <c r="BU128" s="140"/>
      <c r="BV128" s="140"/>
      <c r="BW128" s="140"/>
      <c r="BX128" s="140"/>
      <c r="BY128" s="140"/>
      <c r="BZ128" s="140"/>
      <c r="CA128" s="140"/>
      <c r="CB128" s="140"/>
      <c r="CC128" s="140"/>
      <c r="CD128" s="140"/>
      <c r="CE128" s="140"/>
      <c r="CF128" s="140"/>
    </row>
    <row r="129" spans="1:84" ht="12" customHeight="1" outlineLevel="3">
      <c r="A129" s="129"/>
      <c r="B129" s="129" t="s">
        <v>1345</v>
      </c>
      <c r="C129" s="129">
        <v>4</v>
      </c>
      <c r="D129" s="232" t="s">
        <v>1429</v>
      </c>
      <c r="E129" s="233"/>
      <c r="F129" s="233"/>
      <c r="G129" s="233"/>
      <c r="H129" s="233" t="s">
        <v>1441</v>
      </c>
      <c r="I129" s="233"/>
      <c r="J129" s="233"/>
      <c r="K129" s="233"/>
      <c r="L129" s="233"/>
      <c r="M129" s="233"/>
      <c r="N129" s="233"/>
      <c r="O129" s="233"/>
      <c r="P129" s="234">
        <v>44382</v>
      </c>
      <c r="Q129" s="234">
        <v>44561</v>
      </c>
      <c r="R129" s="235"/>
      <c r="S129" s="236">
        <v>190</v>
      </c>
      <c r="T129" s="236">
        <v>0</v>
      </c>
      <c r="U129" s="236">
        <v>127</v>
      </c>
      <c r="V129" s="236">
        <v>0</v>
      </c>
      <c r="W129" s="234"/>
      <c r="X129" s="234"/>
      <c r="Y129" s="237">
        <v>0</v>
      </c>
      <c r="Z129" s="238">
        <v>0</v>
      </c>
      <c r="AA129" s="236"/>
      <c r="AB129" s="235" t="s">
        <v>1391</v>
      </c>
      <c r="AC129" s="239"/>
      <c r="AD129" s="240">
        <v>0</v>
      </c>
      <c r="AE129" s="192">
        <v>0</v>
      </c>
      <c r="AF129" s="139"/>
      <c r="AG129" s="140"/>
      <c r="AH129" s="140"/>
      <c r="AI129" s="140"/>
      <c r="AJ129" s="140"/>
      <c r="AK129" s="140"/>
      <c r="AL129" s="140"/>
      <c r="AM129" s="140"/>
      <c r="AN129" s="140"/>
      <c r="AO129" s="140"/>
      <c r="AP129" s="140"/>
      <c r="AQ129" s="140"/>
      <c r="AR129" s="140"/>
      <c r="AS129" s="140"/>
      <c r="AT129" s="140"/>
      <c r="AU129" s="140"/>
      <c r="AV129" s="140"/>
      <c r="AW129" s="140"/>
      <c r="AX129" s="140"/>
      <c r="AY129" s="140"/>
      <c r="AZ129" s="140"/>
      <c r="BA129" s="140"/>
      <c r="BB129" s="140"/>
      <c r="BC129" s="140"/>
      <c r="BD129" s="140"/>
      <c r="BE129" s="140"/>
      <c r="BF129" s="140" t="str">
        <f>" " &amp; TEXT(AE129,"#0.00%") &amp; " "</f>
        <v xml:space="preserve"> 0.00% </v>
      </c>
      <c r="BG129" s="140"/>
      <c r="BH129" s="140"/>
      <c r="BI129" s="140"/>
      <c r="BJ129" s="140"/>
      <c r="BK129" s="140"/>
      <c r="BL129" s="140"/>
      <c r="BM129" s="140"/>
      <c r="BN129" s="140"/>
      <c r="BO129" s="140"/>
      <c r="BP129" s="140"/>
      <c r="BQ129" s="140"/>
      <c r="BR129" s="140"/>
      <c r="BS129" s="140"/>
      <c r="BT129" s="140"/>
      <c r="BU129" s="140"/>
      <c r="BV129" s="140"/>
      <c r="BW129" s="140"/>
      <c r="BX129" s="140"/>
      <c r="BY129" s="140"/>
      <c r="BZ129" s="140"/>
      <c r="CA129" s="140"/>
      <c r="CB129" s="140"/>
      <c r="CC129" s="140"/>
      <c r="CD129" s="140"/>
      <c r="CE129" s="140" t="str">
        <f>"      " &amp; "DIFS 2021 프로파일링" &amp; "(신용윤,박세형)" &amp; " " &amp; IF(P129="","",TEXT(P129,"M/D-")) &amp; IF(Q129="","",TEXT(Q129,"M/D")) &amp; " "</f>
        <v xml:space="preserve">      DIFS 2021 프로파일링(신용윤,박세형) 7/5-12/31 </v>
      </c>
      <c r="CF129" s="140"/>
    </row>
    <row r="130" spans="1:84" ht="12" customHeight="1" outlineLevel="4">
      <c r="A130" s="129"/>
      <c r="B130" s="129"/>
      <c r="C130" s="129">
        <v>5</v>
      </c>
      <c r="D130" s="232" t="s">
        <v>1760</v>
      </c>
      <c r="E130" s="233"/>
      <c r="F130" s="233"/>
      <c r="G130" s="233"/>
      <c r="H130" s="233"/>
      <c r="I130" s="233" t="s">
        <v>1611</v>
      </c>
      <c r="J130" s="233"/>
      <c r="K130" s="233"/>
      <c r="L130" s="233"/>
      <c r="M130" s="233"/>
      <c r="N130" s="233"/>
      <c r="O130" s="233"/>
      <c r="P130" s="132">
        <v>44382</v>
      </c>
      <c r="Q130" s="132">
        <v>44393</v>
      </c>
      <c r="R130" s="235"/>
      <c r="S130" s="236">
        <v>10</v>
      </c>
      <c r="T130" s="236">
        <v>0</v>
      </c>
      <c r="U130" s="236">
        <v>10</v>
      </c>
      <c r="V130" s="236">
        <v>0</v>
      </c>
      <c r="W130" s="234"/>
      <c r="X130" s="234"/>
      <c r="Y130" s="237"/>
      <c r="Z130" s="238">
        <v>0</v>
      </c>
      <c r="AA130" s="236"/>
      <c r="AB130" s="235" t="s">
        <v>1410</v>
      </c>
      <c r="AC130" s="239"/>
      <c r="AD130" s="240">
        <v>0</v>
      </c>
      <c r="AE130" s="165">
        <v>0</v>
      </c>
      <c r="AF130" s="139"/>
      <c r="AG130" s="140"/>
      <c r="AH130" s="140"/>
      <c r="AI130" s="140"/>
      <c r="AJ130" s="140"/>
      <c r="AK130" s="140"/>
      <c r="AL130" s="140"/>
      <c r="AM130" s="140"/>
      <c r="AN130" s="140"/>
      <c r="AO130" s="140"/>
      <c r="AP130" s="140"/>
      <c r="AQ130" s="140"/>
      <c r="AR130" s="140"/>
      <c r="AS130" s="140"/>
      <c r="AT130" s="140"/>
      <c r="AU130" s="140"/>
      <c r="AV130" s="140"/>
      <c r="AW130" s="140"/>
      <c r="AX130" s="140"/>
      <c r="AY130" s="140"/>
      <c r="AZ130" s="140"/>
      <c r="BA130" s="140"/>
      <c r="BB130" s="140"/>
      <c r="BC130" s="140"/>
      <c r="BD130" s="140"/>
      <c r="BE130" s="140"/>
      <c r="BF130" s="140" t="str">
        <f>" " &amp; TEXT(AE130,"#0.00%") &amp; " " &amp; "ForwardingHint 결과분석 1" &amp; "(신용윤)" &amp; " " &amp; IF(P130="","",TEXT(P130,"M/D-")) &amp; IF(Q130="","",TEXT(Q130,"M/D")) &amp; " "</f>
        <v xml:space="preserve"> 0.00% ForwardingHint 결과분석 1(신용윤) 7/5-7/16 </v>
      </c>
      <c r="BG130" s="140"/>
      <c r="BH130" s="140"/>
      <c r="BI130" s="140"/>
      <c r="BJ130" s="140"/>
      <c r="BK130" s="140"/>
      <c r="BL130" s="140"/>
      <c r="BM130" s="140"/>
      <c r="BN130" s="140"/>
      <c r="BO130" s="140"/>
      <c r="BP130" s="140"/>
      <c r="BQ130" s="140"/>
      <c r="BR130" s="140"/>
      <c r="BS130" s="140"/>
      <c r="BT130" s="140"/>
      <c r="BU130" s="140"/>
      <c r="BV130" s="140"/>
      <c r="BW130" s="140"/>
      <c r="BX130" s="140"/>
      <c r="BY130" s="140"/>
      <c r="BZ130" s="140"/>
      <c r="CA130" s="140"/>
      <c r="CB130" s="140"/>
      <c r="CC130" s="140"/>
      <c r="CD130" s="140"/>
      <c r="CE130" s="140"/>
      <c r="CF130" s="140"/>
    </row>
    <row r="131" spans="1:84" ht="12" customHeight="1" outlineLevel="4">
      <c r="A131" s="129"/>
      <c r="B131" s="129"/>
      <c r="C131" s="129">
        <v>5</v>
      </c>
      <c r="D131" s="232" t="s">
        <v>1761</v>
      </c>
      <c r="E131" s="233"/>
      <c r="F131" s="233"/>
      <c r="G131" s="233"/>
      <c r="H131" s="233"/>
      <c r="I131" s="233" t="s">
        <v>1612</v>
      </c>
      <c r="J131" s="233"/>
      <c r="K131" s="233"/>
      <c r="L131" s="233"/>
      <c r="M131" s="233"/>
      <c r="N131" s="233"/>
      <c r="O131" s="233"/>
      <c r="P131" s="132">
        <v>44396</v>
      </c>
      <c r="Q131" s="132">
        <v>44407</v>
      </c>
      <c r="R131" s="235"/>
      <c r="S131" s="236">
        <v>10</v>
      </c>
      <c r="T131" s="236">
        <v>0</v>
      </c>
      <c r="U131" s="236">
        <v>10</v>
      </c>
      <c r="V131" s="236">
        <v>0</v>
      </c>
      <c r="W131" s="234"/>
      <c r="X131" s="234"/>
      <c r="Y131" s="237"/>
      <c r="Z131" s="238">
        <v>0</v>
      </c>
      <c r="AA131" s="236"/>
      <c r="AB131" s="235"/>
      <c r="AC131" s="239"/>
      <c r="AD131" s="240">
        <v>0</v>
      </c>
      <c r="AE131" s="165">
        <v>0</v>
      </c>
      <c r="AF131" s="139"/>
      <c r="AG131" s="140"/>
      <c r="AH131" s="140"/>
      <c r="AI131" s="140"/>
      <c r="AJ131" s="140"/>
      <c r="AK131" s="140"/>
      <c r="AL131" s="140"/>
      <c r="AM131" s="140"/>
      <c r="AN131" s="140"/>
      <c r="AO131" s="140"/>
      <c r="AP131" s="140"/>
      <c r="AQ131" s="140"/>
      <c r="AR131" s="140"/>
      <c r="AS131" s="140"/>
      <c r="AT131" s="140"/>
      <c r="AU131" s="140"/>
      <c r="AV131" s="140"/>
      <c r="AW131" s="140"/>
      <c r="AX131" s="140"/>
      <c r="AY131" s="140"/>
      <c r="AZ131" s="140"/>
      <c r="BA131" s="140"/>
      <c r="BB131" s="140"/>
      <c r="BC131" s="140"/>
      <c r="BD131" s="140"/>
      <c r="BE131" s="140"/>
      <c r="BF131" s="140"/>
      <c r="BG131" s="140"/>
      <c r="BH131" s="140" t="str">
        <f>" " &amp; TEXT(AE131,"#0.00%") &amp; " " &amp; "ForwardingHint 결과분석 2" &amp; " " &amp; IF(P131="","",TEXT(P131,"M/D-")) &amp; IF(Q131="","",TEXT(Q131,"M/D")) &amp; " "</f>
        <v xml:space="preserve"> 0.00% ForwardingHint 결과분석 2 7/19-7/30 </v>
      </c>
      <c r="BI131" s="140"/>
      <c r="BJ131" s="140"/>
      <c r="BK131" s="140"/>
      <c r="BL131" s="140"/>
      <c r="BM131" s="140"/>
      <c r="BN131" s="140"/>
      <c r="BO131" s="140"/>
      <c r="BP131" s="140"/>
      <c r="BQ131" s="140"/>
      <c r="BR131" s="140"/>
      <c r="BS131" s="140"/>
      <c r="BT131" s="140"/>
      <c r="BU131" s="140"/>
      <c r="BV131" s="140"/>
      <c r="BW131" s="140"/>
      <c r="BX131" s="140"/>
      <c r="BY131" s="140"/>
      <c r="BZ131" s="140"/>
      <c r="CA131" s="140"/>
      <c r="CB131" s="140"/>
      <c r="CC131" s="140"/>
      <c r="CD131" s="140"/>
      <c r="CE131" s="140"/>
      <c r="CF131" s="140"/>
    </row>
    <row r="132" spans="1:84" ht="12" customHeight="1" outlineLevel="4">
      <c r="A132" s="129"/>
      <c r="B132" s="129"/>
      <c r="C132" s="129">
        <v>5</v>
      </c>
      <c r="D132" s="232" t="s">
        <v>1762</v>
      </c>
      <c r="E132" s="233"/>
      <c r="F132" s="233"/>
      <c r="G132" s="233"/>
      <c r="H132" s="233"/>
      <c r="I132" s="233" t="s">
        <v>1613</v>
      </c>
      <c r="J132" s="233"/>
      <c r="K132" s="233"/>
      <c r="L132" s="233"/>
      <c r="M132" s="233"/>
      <c r="N132" s="233"/>
      <c r="O132" s="233"/>
      <c r="P132" s="132">
        <v>44410</v>
      </c>
      <c r="Q132" s="132">
        <v>44421</v>
      </c>
      <c r="R132" s="235"/>
      <c r="S132" s="236">
        <v>10</v>
      </c>
      <c r="T132" s="236">
        <v>0</v>
      </c>
      <c r="U132" s="236">
        <v>10</v>
      </c>
      <c r="V132" s="236">
        <v>0</v>
      </c>
      <c r="W132" s="234"/>
      <c r="X132" s="234"/>
      <c r="Y132" s="237"/>
      <c r="Z132" s="238">
        <v>0</v>
      </c>
      <c r="AA132" s="236"/>
      <c r="AB132" s="235" t="s">
        <v>1410</v>
      </c>
      <c r="AC132" s="239"/>
      <c r="AD132" s="240">
        <v>0</v>
      </c>
      <c r="AE132" s="165">
        <v>0</v>
      </c>
      <c r="AF132" s="139"/>
      <c r="AG132" s="140"/>
      <c r="AH132" s="140"/>
      <c r="AI132" s="140"/>
      <c r="AJ132" s="140"/>
      <c r="AK132" s="140"/>
      <c r="AL132" s="140"/>
      <c r="AM132" s="140"/>
      <c r="AN132" s="140"/>
      <c r="AO132" s="140"/>
      <c r="AP132" s="140"/>
      <c r="AQ132" s="140"/>
      <c r="AR132" s="140"/>
      <c r="AS132" s="140"/>
      <c r="AT132" s="140"/>
      <c r="AU132" s="140"/>
      <c r="AV132" s="140"/>
      <c r="AW132" s="140"/>
      <c r="AX132" s="140"/>
      <c r="AY132" s="140"/>
      <c r="AZ132" s="140"/>
      <c r="BA132" s="140"/>
      <c r="BB132" s="140"/>
      <c r="BC132" s="140"/>
      <c r="BD132" s="140"/>
      <c r="BE132" s="140"/>
      <c r="BF132" s="140"/>
      <c r="BG132" s="140"/>
      <c r="BH132" s="140"/>
      <c r="BI132" s="140"/>
      <c r="BJ132" s="140" t="str">
        <f>" " &amp; TEXT(AE132,"#0.00%") &amp; " " &amp; "ForwardingHint 코드 최적화 1" &amp; "(신용윤)" &amp; " " &amp; IF(P132="","",TEXT(P132,"M/D-")) &amp; IF(Q132="","",TEXT(Q132,"M/D")) &amp; " "</f>
        <v xml:space="preserve"> 0.00% ForwardingHint 코드 최적화 1(신용윤) 8/2-8/13 </v>
      </c>
      <c r="BK132" s="140"/>
      <c r="BL132" s="140"/>
      <c r="BM132" s="140"/>
      <c r="BN132" s="140"/>
      <c r="BO132" s="140"/>
      <c r="BP132" s="140"/>
      <c r="BQ132" s="140"/>
      <c r="BR132" s="140"/>
      <c r="BS132" s="140"/>
      <c r="BT132" s="140"/>
      <c r="BU132" s="140"/>
      <c r="BV132" s="140"/>
      <c r="BW132" s="140"/>
      <c r="BX132" s="140"/>
      <c r="BY132" s="140"/>
      <c r="BZ132" s="140"/>
      <c r="CA132" s="140"/>
      <c r="CB132" s="140"/>
      <c r="CC132" s="140"/>
      <c r="CD132" s="140"/>
      <c r="CE132" s="140"/>
      <c r="CF132" s="140"/>
    </row>
    <row r="133" spans="1:84" ht="12" customHeight="1" outlineLevel="4">
      <c r="A133" s="129"/>
      <c r="B133" s="129"/>
      <c r="C133" s="129">
        <v>5</v>
      </c>
      <c r="D133" s="232" t="s">
        <v>1763</v>
      </c>
      <c r="E133" s="233"/>
      <c r="F133" s="233"/>
      <c r="G133" s="233"/>
      <c r="H133" s="233"/>
      <c r="I133" s="233" t="s">
        <v>1614</v>
      </c>
      <c r="J133" s="233"/>
      <c r="K133" s="233"/>
      <c r="L133" s="233"/>
      <c r="M133" s="233"/>
      <c r="N133" s="233"/>
      <c r="O133" s="233"/>
      <c r="P133" s="132">
        <v>44424</v>
      </c>
      <c r="Q133" s="132">
        <v>44435</v>
      </c>
      <c r="R133" s="235"/>
      <c r="S133" s="236">
        <v>10</v>
      </c>
      <c r="T133" s="236">
        <v>0</v>
      </c>
      <c r="U133" s="236">
        <v>10</v>
      </c>
      <c r="V133" s="236">
        <v>0</v>
      </c>
      <c r="W133" s="234"/>
      <c r="X133" s="234"/>
      <c r="Y133" s="237"/>
      <c r="Z133" s="238">
        <v>0</v>
      </c>
      <c r="AA133" s="236"/>
      <c r="AB133" s="235"/>
      <c r="AC133" s="239"/>
      <c r="AD133" s="240">
        <v>0</v>
      </c>
      <c r="AE133" s="165">
        <v>0</v>
      </c>
      <c r="AF133" s="139"/>
      <c r="AG133" s="140"/>
      <c r="AH133" s="140"/>
      <c r="AI133" s="140"/>
      <c r="AJ133" s="140"/>
      <c r="AK133" s="140"/>
      <c r="AL133" s="140"/>
      <c r="AM133" s="140"/>
      <c r="AN133" s="140"/>
      <c r="AO133" s="140"/>
      <c r="AP133" s="140"/>
      <c r="AQ133" s="140"/>
      <c r="AR133" s="140"/>
      <c r="AS133" s="140"/>
      <c r="AT133" s="140"/>
      <c r="AU133" s="140"/>
      <c r="AV133" s="140"/>
      <c r="AW133" s="140"/>
      <c r="AX133" s="140"/>
      <c r="AY133" s="140"/>
      <c r="AZ133" s="140"/>
      <c r="BA133" s="140"/>
      <c r="BB133" s="140"/>
      <c r="BC133" s="140"/>
      <c r="BD133" s="140"/>
      <c r="BE133" s="140"/>
      <c r="BF133" s="140"/>
      <c r="BG133" s="140"/>
      <c r="BH133" s="140"/>
      <c r="BI133" s="140"/>
      <c r="BJ133" s="140"/>
      <c r="BK133" s="140"/>
      <c r="BL133" s="140" t="str">
        <f>" " &amp; TEXT(AE133,"#0.00%") &amp; " " &amp; "ForwardingHint 코드 최적화 2" &amp; " " &amp; IF(P133="","",TEXT(P133,"M/D-")) &amp; IF(Q133="","",TEXT(Q133,"M/D")) &amp; " "</f>
        <v xml:space="preserve"> 0.00% ForwardingHint 코드 최적화 2 8/16-8/27 </v>
      </c>
      <c r="BM133" s="140"/>
      <c r="BN133" s="140"/>
      <c r="BO133" s="140"/>
      <c r="BP133" s="140"/>
      <c r="BQ133" s="140"/>
      <c r="BR133" s="140"/>
      <c r="BS133" s="140"/>
      <c r="BT133" s="140"/>
      <c r="BU133" s="140"/>
      <c r="BV133" s="140"/>
      <c r="BW133" s="140"/>
      <c r="BX133" s="140"/>
      <c r="BY133" s="140"/>
      <c r="BZ133" s="140"/>
      <c r="CA133" s="140"/>
      <c r="CB133" s="140"/>
      <c r="CC133" s="140"/>
      <c r="CD133" s="140"/>
      <c r="CE133" s="140"/>
      <c r="CF133" s="140"/>
    </row>
    <row r="134" spans="1:84" ht="12" customHeight="1" outlineLevel="4">
      <c r="A134" s="129"/>
      <c r="B134" s="129"/>
      <c r="C134" s="129">
        <v>5</v>
      </c>
      <c r="D134" s="232" t="s">
        <v>1764</v>
      </c>
      <c r="E134" s="233"/>
      <c r="F134" s="233"/>
      <c r="G134" s="233"/>
      <c r="H134" s="233"/>
      <c r="I134" s="233" t="s">
        <v>1615</v>
      </c>
      <c r="J134" s="233"/>
      <c r="K134" s="233"/>
      <c r="L134" s="233"/>
      <c r="M134" s="233"/>
      <c r="N134" s="233"/>
      <c r="O134" s="233"/>
      <c r="P134" s="132">
        <v>44438</v>
      </c>
      <c r="Q134" s="132">
        <v>44449</v>
      </c>
      <c r="R134" s="235"/>
      <c r="S134" s="236">
        <v>10</v>
      </c>
      <c r="T134" s="236">
        <v>0</v>
      </c>
      <c r="U134" s="236">
        <v>10</v>
      </c>
      <c r="V134" s="236">
        <v>0</v>
      </c>
      <c r="W134" s="234"/>
      <c r="X134" s="234"/>
      <c r="Y134" s="237"/>
      <c r="Z134" s="238">
        <v>0</v>
      </c>
      <c r="AA134" s="236"/>
      <c r="AB134" s="235"/>
      <c r="AC134" s="239"/>
      <c r="AD134" s="240">
        <v>0</v>
      </c>
      <c r="AE134" s="165">
        <v>0</v>
      </c>
      <c r="AF134" s="139"/>
      <c r="AG134" s="140"/>
      <c r="AH134" s="140"/>
      <c r="AI134" s="140"/>
      <c r="AJ134" s="140"/>
      <c r="AK134" s="140"/>
      <c r="AL134" s="140"/>
      <c r="AM134" s="140"/>
      <c r="AN134" s="140"/>
      <c r="AO134" s="140"/>
      <c r="AP134" s="140"/>
      <c r="AQ134" s="140"/>
      <c r="AR134" s="140"/>
      <c r="AS134" s="140"/>
      <c r="AT134" s="140"/>
      <c r="AU134" s="140"/>
      <c r="AV134" s="140"/>
      <c r="AW134" s="140"/>
      <c r="AX134" s="140"/>
      <c r="AY134" s="140"/>
      <c r="AZ134" s="140"/>
      <c r="BA134" s="140"/>
      <c r="BB134" s="140"/>
      <c r="BC134" s="140"/>
      <c r="BD134" s="140"/>
      <c r="BE134" s="140"/>
      <c r="BF134" s="140"/>
      <c r="BG134" s="140"/>
      <c r="BH134" s="140"/>
      <c r="BI134" s="140"/>
      <c r="BJ134" s="140"/>
      <c r="BK134" s="140"/>
      <c r="BL134" s="140"/>
      <c r="BM134" s="140"/>
      <c r="BN134" s="140" t="str">
        <f>" " &amp; TEXT(AE134,"#0.00%") &amp; " " &amp; "ForwardingHint 코드 최적화 3" &amp; " " &amp; IF(P134="","",TEXT(P134,"M/D-")) &amp; IF(Q134="","",TEXT(Q134,"M/D")) &amp; " "</f>
        <v xml:space="preserve"> 0.00% ForwardingHint 코드 최적화 3 8/30-9/10 </v>
      </c>
      <c r="BO134" s="140"/>
      <c r="BP134" s="140"/>
      <c r="BQ134" s="140"/>
      <c r="BR134" s="140"/>
      <c r="BS134" s="140"/>
      <c r="BT134" s="140"/>
      <c r="BU134" s="140"/>
      <c r="BV134" s="140"/>
      <c r="BW134" s="140"/>
      <c r="BX134" s="140"/>
      <c r="BY134" s="140"/>
      <c r="BZ134" s="140"/>
      <c r="CA134" s="140"/>
      <c r="CB134" s="140"/>
      <c r="CC134" s="140"/>
      <c r="CD134" s="140"/>
      <c r="CE134" s="140"/>
      <c r="CF134" s="140"/>
    </row>
    <row r="135" spans="1:84" ht="12" customHeight="1" outlineLevel="4">
      <c r="A135" s="129"/>
      <c r="B135" s="129"/>
      <c r="C135" s="129">
        <v>5</v>
      </c>
      <c r="D135" s="232" t="s">
        <v>1765</v>
      </c>
      <c r="E135" s="233"/>
      <c r="F135" s="233"/>
      <c r="G135" s="233"/>
      <c r="H135" s="233"/>
      <c r="I135" s="233" t="s">
        <v>1616</v>
      </c>
      <c r="J135" s="233"/>
      <c r="K135" s="233"/>
      <c r="L135" s="233"/>
      <c r="M135" s="233"/>
      <c r="N135" s="233"/>
      <c r="O135" s="233"/>
      <c r="P135" s="132">
        <v>44382</v>
      </c>
      <c r="Q135" s="132">
        <v>44393</v>
      </c>
      <c r="R135" s="235"/>
      <c r="S135" s="236">
        <v>10</v>
      </c>
      <c r="T135" s="236">
        <v>0</v>
      </c>
      <c r="U135" s="236">
        <v>10</v>
      </c>
      <c r="V135" s="236">
        <v>0</v>
      </c>
      <c r="W135" s="234"/>
      <c r="X135" s="234"/>
      <c r="Y135" s="237"/>
      <c r="Z135" s="238">
        <v>0</v>
      </c>
      <c r="AA135" s="236"/>
      <c r="AB135" s="235" t="s">
        <v>1410</v>
      </c>
      <c r="AC135" s="239"/>
      <c r="AD135" s="240">
        <v>0</v>
      </c>
      <c r="AE135" s="165">
        <v>0</v>
      </c>
      <c r="AF135" s="139"/>
      <c r="AG135" s="140"/>
      <c r="AH135" s="140"/>
      <c r="AI135" s="140"/>
      <c r="AJ135" s="140"/>
      <c r="AK135" s="140"/>
      <c r="AL135" s="140"/>
      <c r="AM135" s="140"/>
      <c r="AN135" s="140"/>
      <c r="AO135" s="140"/>
      <c r="AP135" s="140"/>
      <c r="AQ135" s="140"/>
      <c r="AR135" s="140"/>
      <c r="AS135" s="140"/>
      <c r="AT135" s="140"/>
      <c r="AU135" s="140"/>
      <c r="AV135" s="140"/>
      <c r="AW135" s="140"/>
      <c r="AX135" s="140"/>
      <c r="AY135" s="140"/>
      <c r="AZ135" s="140"/>
      <c r="BA135" s="140"/>
      <c r="BB135" s="140"/>
      <c r="BC135" s="140"/>
      <c r="BD135" s="140"/>
      <c r="BE135" s="140"/>
      <c r="BF135" s="140" t="str">
        <f>" " &amp; TEXT(AE135,"#0.00%") &amp; " " &amp; "KeyValue Store 결과분석 1" &amp; "(신용윤)" &amp; " " &amp; IF(P135="","",TEXT(P135,"M/D-")) &amp; IF(Q135="","",TEXT(Q135,"M/D")) &amp; " "</f>
        <v xml:space="preserve"> 0.00% KeyValue Store 결과분석 1(신용윤) 7/5-7/16 </v>
      </c>
      <c r="BG135" s="140"/>
      <c r="BH135" s="140"/>
      <c r="BI135" s="140"/>
      <c r="BJ135" s="140"/>
      <c r="BK135" s="140"/>
      <c r="BL135" s="140"/>
      <c r="BM135" s="140"/>
      <c r="BN135" s="140"/>
      <c r="BO135" s="140"/>
      <c r="BP135" s="140"/>
      <c r="BQ135" s="140"/>
      <c r="BR135" s="140"/>
      <c r="BS135" s="140"/>
      <c r="BT135" s="140"/>
      <c r="BU135" s="140"/>
      <c r="BV135" s="140"/>
      <c r="BW135" s="140"/>
      <c r="BX135" s="140"/>
      <c r="BY135" s="140"/>
      <c r="BZ135" s="140"/>
      <c r="CA135" s="140"/>
      <c r="CB135" s="140"/>
      <c r="CC135" s="140"/>
      <c r="CD135" s="140"/>
      <c r="CE135" s="140"/>
      <c r="CF135" s="140"/>
    </row>
    <row r="136" spans="1:84" ht="12" customHeight="1" outlineLevel="4">
      <c r="A136" s="129"/>
      <c r="B136" s="129"/>
      <c r="C136" s="129">
        <v>5</v>
      </c>
      <c r="D136" s="232" t="s">
        <v>1766</v>
      </c>
      <c r="E136" s="233"/>
      <c r="F136" s="233"/>
      <c r="G136" s="233"/>
      <c r="H136" s="233"/>
      <c r="I136" s="233" t="s">
        <v>1617</v>
      </c>
      <c r="J136" s="233"/>
      <c r="K136" s="233"/>
      <c r="L136" s="233"/>
      <c r="M136" s="233"/>
      <c r="N136" s="233"/>
      <c r="O136" s="233"/>
      <c r="P136" s="132">
        <v>44396</v>
      </c>
      <c r="Q136" s="132">
        <v>44407</v>
      </c>
      <c r="R136" s="235"/>
      <c r="S136" s="236">
        <v>10</v>
      </c>
      <c r="T136" s="236">
        <v>0</v>
      </c>
      <c r="U136" s="236">
        <v>10</v>
      </c>
      <c r="V136" s="236">
        <v>0</v>
      </c>
      <c r="W136" s="234"/>
      <c r="X136" s="234"/>
      <c r="Y136" s="237"/>
      <c r="Z136" s="238">
        <v>0</v>
      </c>
      <c r="AA136" s="236"/>
      <c r="AB136" s="235"/>
      <c r="AC136" s="239"/>
      <c r="AD136" s="240">
        <v>0</v>
      </c>
      <c r="AE136" s="165">
        <v>0</v>
      </c>
      <c r="AF136" s="139"/>
      <c r="AG136" s="140"/>
      <c r="AH136" s="140"/>
      <c r="AI136" s="140"/>
      <c r="AJ136" s="140"/>
      <c r="AK136" s="140"/>
      <c r="AL136" s="140"/>
      <c r="AM136" s="140"/>
      <c r="AN136" s="140"/>
      <c r="AO136" s="140"/>
      <c r="AP136" s="140"/>
      <c r="AQ136" s="140"/>
      <c r="AR136" s="140"/>
      <c r="AS136" s="140"/>
      <c r="AT136" s="140"/>
      <c r="AU136" s="140"/>
      <c r="AV136" s="140"/>
      <c r="AW136" s="140"/>
      <c r="AX136" s="140"/>
      <c r="AY136" s="140"/>
      <c r="AZ136" s="140"/>
      <c r="BA136" s="140"/>
      <c r="BB136" s="140"/>
      <c r="BC136" s="140"/>
      <c r="BD136" s="140"/>
      <c r="BE136" s="140"/>
      <c r="BF136" s="140"/>
      <c r="BG136" s="140"/>
      <c r="BH136" s="140" t="str">
        <f>" " &amp; TEXT(AE136,"#0.00%") &amp; " " &amp; "KeyValue Store 결과분석 2" &amp; " " &amp; IF(P136="","",TEXT(P136,"M/D-")) &amp; IF(Q136="","",TEXT(Q136,"M/D")) &amp; " "</f>
        <v xml:space="preserve"> 0.00% KeyValue Store 결과분석 2 7/19-7/30 </v>
      </c>
      <c r="BI136" s="140"/>
      <c r="BJ136" s="140"/>
      <c r="BK136" s="140"/>
      <c r="BL136" s="140"/>
      <c r="BM136" s="140"/>
      <c r="BN136" s="140"/>
      <c r="BO136" s="140"/>
      <c r="BP136" s="140"/>
      <c r="BQ136" s="140"/>
      <c r="BR136" s="140"/>
      <c r="BS136" s="140"/>
      <c r="BT136" s="140"/>
      <c r="BU136" s="140"/>
      <c r="BV136" s="140"/>
      <c r="BW136" s="140"/>
      <c r="BX136" s="140"/>
      <c r="BY136" s="140"/>
      <c r="BZ136" s="140"/>
      <c r="CA136" s="140"/>
      <c r="CB136" s="140"/>
      <c r="CC136" s="140"/>
      <c r="CD136" s="140"/>
      <c r="CE136" s="140"/>
      <c r="CF136" s="140"/>
    </row>
    <row r="137" spans="1:84" ht="12" customHeight="1" outlineLevel="4">
      <c r="A137" s="129"/>
      <c r="B137" s="129"/>
      <c r="C137" s="129">
        <v>5</v>
      </c>
      <c r="D137" s="232" t="s">
        <v>1767</v>
      </c>
      <c r="E137" s="233"/>
      <c r="F137" s="233"/>
      <c r="G137" s="233"/>
      <c r="H137" s="233"/>
      <c r="I137" s="233" t="s">
        <v>1618</v>
      </c>
      <c r="J137" s="233"/>
      <c r="K137" s="233"/>
      <c r="L137" s="233"/>
      <c r="M137" s="233"/>
      <c r="N137" s="233"/>
      <c r="O137" s="233"/>
      <c r="P137" s="132">
        <v>44410</v>
      </c>
      <c r="Q137" s="132">
        <v>44421</v>
      </c>
      <c r="R137" s="235"/>
      <c r="S137" s="236">
        <v>10</v>
      </c>
      <c r="T137" s="236">
        <v>0</v>
      </c>
      <c r="U137" s="236">
        <v>10</v>
      </c>
      <c r="V137" s="236">
        <v>0</v>
      </c>
      <c r="W137" s="234"/>
      <c r="X137" s="234"/>
      <c r="Y137" s="237"/>
      <c r="Z137" s="238">
        <v>0</v>
      </c>
      <c r="AA137" s="236"/>
      <c r="AB137" s="235" t="s">
        <v>1410</v>
      </c>
      <c r="AC137" s="239"/>
      <c r="AD137" s="240">
        <v>0</v>
      </c>
      <c r="AE137" s="165">
        <v>0</v>
      </c>
      <c r="AF137" s="139"/>
      <c r="AG137" s="140"/>
      <c r="AH137" s="140"/>
      <c r="AI137" s="140"/>
      <c r="AJ137" s="140"/>
      <c r="AK137" s="140"/>
      <c r="AL137" s="140"/>
      <c r="AM137" s="140"/>
      <c r="AN137" s="140"/>
      <c r="AO137" s="140"/>
      <c r="AP137" s="140"/>
      <c r="AQ137" s="140"/>
      <c r="AR137" s="140"/>
      <c r="AS137" s="140"/>
      <c r="AT137" s="140"/>
      <c r="AU137" s="140"/>
      <c r="AV137" s="140"/>
      <c r="AW137" s="140"/>
      <c r="AX137" s="140"/>
      <c r="AY137" s="140"/>
      <c r="AZ137" s="140"/>
      <c r="BA137" s="140"/>
      <c r="BB137" s="140"/>
      <c r="BC137" s="140"/>
      <c r="BD137" s="140"/>
      <c r="BE137" s="140"/>
      <c r="BF137" s="140"/>
      <c r="BG137" s="140"/>
      <c r="BH137" s="140"/>
      <c r="BI137" s="140"/>
      <c r="BJ137" s="140" t="str">
        <f>" " &amp; TEXT(AE137,"#0.00%") &amp; " " &amp; "KeyValue Store 코드 최적화 1" &amp; "(신용윤)" &amp; " " &amp; IF(P137="","",TEXT(P137,"M/D-")) &amp; IF(Q137="","",TEXT(Q137,"M/D")) &amp; " "</f>
        <v xml:space="preserve"> 0.00% KeyValue Store 코드 최적화 1(신용윤) 8/2-8/13 </v>
      </c>
      <c r="BK137" s="140"/>
      <c r="BL137" s="140"/>
      <c r="BM137" s="140"/>
      <c r="BN137" s="140"/>
      <c r="BO137" s="140"/>
      <c r="BP137" s="140"/>
      <c r="BQ137" s="140"/>
      <c r="BR137" s="140"/>
      <c r="BS137" s="140"/>
      <c r="BT137" s="140"/>
      <c r="BU137" s="140"/>
      <c r="BV137" s="140"/>
      <c r="BW137" s="140"/>
      <c r="BX137" s="140"/>
      <c r="BY137" s="140"/>
      <c r="BZ137" s="140"/>
      <c r="CA137" s="140"/>
      <c r="CB137" s="140"/>
      <c r="CC137" s="140"/>
      <c r="CD137" s="140"/>
      <c r="CE137" s="140"/>
      <c r="CF137" s="140"/>
    </row>
    <row r="138" spans="1:84" ht="12" customHeight="1" outlineLevel="4">
      <c r="A138" s="129"/>
      <c r="B138" s="129"/>
      <c r="C138" s="129">
        <v>5</v>
      </c>
      <c r="D138" s="232" t="s">
        <v>1768</v>
      </c>
      <c r="E138" s="233"/>
      <c r="F138" s="233"/>
      <c r="G138" s="233"/>
      <c r="H138" s="233"/>
      <c r="I138" s="233" t="s">
        <v>1619</v>
      </c>
      <c r="J138" s="233"/>
      <c r="K138" s="233"/>
      <c r="L138" s="233"/>
      <c r="M138" s="233"/>
      <c r="N138" s="233"/>
      <c r="O138" s="233"/>
      <c r="P138" s="132">
        <v>44424</v>
      </c>
      <c r="Q138" s="132">
        <v>44435</v>
      </c>
      <c r="R138" s="235"/>
      <c r="S138" s="236">
        <v>10</v>
      </c>
      <c r="T138" s="236">
        <v>0</v>
      </c>
      <c r="U138" s="236">
        <v>10</v>
      </c>
      <c r="V138" s="236">
        <v>0</v>
      </c>
      <c r="W138" s="234"/>
      <c r="X138" s="234"/>
      <c r="Y138" s="237"/>
      <c r="Z138" s="238">
        <v>0</v>
      </c>
      <c r="AA138" s="236"/>
      <c r="AB138" s="235"/>
      <c r="AC138" s="239"/>
      <c r="AD138" s="240">
        <v>0</v>
      </c>
      <c r="AE138" s="165">
        <v>0</v>
      </c>
      <c r="AF138" s="139"/>
      <c r="AG138" s="140"/>
      <c r="AH138" s="140"/>
      <c r="AI138" s="140"/>
      <c r="AJ138" s="140"/>
      <c r="AK138" s="140"/>
      <c r="AL138" s="140"/>
      <c r="AM138" s="140"/>
      <c r="AN138" s="140"/>
      <c r="AO138" s="140"/>
      <c r="AP138" s="140"/>
      <c r="AQ138" s="140"/>
      <c r="AR138" s="140"/>
      <c r="AS138" s="140"/>
      <c r="AT138" s="140"/>
      <c r="AU138" s="140"/>
      <c r="AV138" s="140"/>
      <c r="AW138" s="140"/>
      <c r="AX138" s="140"/>
      <c r="AY138" s="140"/>
      <c r="AZ138" s="140"/>
      <c r="BA138" s="140"/>
      <c r="BB138" s="140"/>
      <c r="BC138" s="140"/>
      <c r="BD138" s="140"/>
      <c r="BE138" s="140"/>
      <c r="BF138" s="140"/>
      <c r="BG138" s="140"/>
      <c r="BH138" s="140"/>
      <c r="BI138" s="140"/>
      <c r="BJ138" s="140"/>
      <c r="BK138" s="140"/>
      <c r="BL138" s="140" t="str">
        <f>" " &amp; TEXT(AE138,"#0.00%") &amp; " " &amp; "KeyValue Store 코드 최적화 2" &amp; " " &amp; IF(P138="","",TEXT(P138,"M/D-")) &amp; IF(Q138="","",TEXT(Q138,"M/D")) &amp; " "</f>
        <v xml:space="preserve"> 0.00% KeyValue Store 코드 최적화 2 8/16-8/27 </v>
      </c>
      <c r="BM138" s="140"/>
      <c r="BN138" s="140"/>
      <c r="BO138" s="140"/>
      <c r="BP138" s="140"/>
      <c r="BQ138" s="140"/>
      <c r="BR138" s="140"/>
      <c r="BS138" s="140"/>
      <c r="BT138" s="140"/>
      <c r="BU138" s="140"/>
      <c r="BV138" s="140"/>
      <c r="BW138" s="140"/>
      <c r="BX138" s="140"/>
      <c r="BY138" s="140"/>
      <c r="BZ138" s="140"/>
      <c r="CA138" s="140"/>
      <c r="CB138" s="140"/>
      <c r="CC138" s="140"/>
      <c r="CD138" s="140"/>
      <c r="CE138" s="140"/>
      <c r="CF138" s="140"/>
    </row>
    <row r="139" spans="1:84" ht="12" customHeight="1" outlineLevel="4">
      <c r="A139" s="129"/>
      <c r="B139" s="129"/>
      <c r="C139" s="129">
        <v>5</v>
      </c>
      <c r="D139" s="232" t="s">
        <v>1769</v>
      </c>
      <c r="E139" s="233"/>
      <c r="F139" s="233"/>
      <c r="G139" s="233"/>
      <c r="H139" s="233"/>
      <c r="I139" s="233" t="s">
        <v>1620</v>
      </c>
      <c r="J139" s="233"/>
      <c r="K139" s="233"/>
      <c r="L139" s="233"/>
      <c r="M139" s="233"/>
      <c r="N139" s="233"/>
      <c r="O139" s="233"/>
      <c r="P139" s="132">
        <v>44438</v>
      </c>
      <c r="Q139" s="132">
        <v>44449</v>
      </c>
      <c r="R139" s="235"/>
      <c r="S139" s="236">
        <v>10</v>
      </c>
      <c r="T139" s="236">
        <v>0</v>
      </c>
      <c r="U139" s="236">
        <v>10</v>
      </c>
      <c r="V139" s="236">
        <v>0</v>
      </c>
      <c r="W139" s="234"/>
      <c r="X139" s="234"/>
      <c r="Y139" s="237"/>
      <c r="Z139" s="238">
        <v>0</v>
      </c>
      <c r="AA139" s="236"/>
      <c r="AB139" s="235"/>
      <c r="AC139" s="239"/>
      <c r="AD139" s="240">
        <v>0</v>
      </c>
      <c r="AE139" s="165">
        <v>0</v>
      </c>
      <c r="AF139" s="139"/>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t="str">
        <f>" " &amp; TEXT(AE139,"#0.00%") &amp; " " &amp; "KeyValue Store 코드 최적화 3" &amp; " " &amp; IF(P139="","",TEXT(P139,"M/D-")) &amp; IF(Q139="","",TEXT(Q139,"M/D")) &amp; " "</f>
        <v xml:space="preserve"> 0.00% KeyValue Store 코드 최적화 3 8/30-9/10 </v>
      </c>
      <c r="BO139" s="140"/>
      <c r="BP139" s="140"/>
      <c r="BQ139" s="140"/>
      <c r="BR139" s="140"/>
      <c r="BS139" s="140"/>
      <c r="BT139" s="140"/>
      <c r="BU139" s="140"/>
      <c r="BV139" s="140"/>
      <c r="BW139" s="140"/>
      <c r="BX139" s="140"/>
      <c r="BY139" s="140"/>
      <c r="BZ139" s="140"/>
      <c r="CA139" s="140"/>
      <c r="CB139" s="140"/>
      <c r="CC139" s="140"/>
      <c r="CD139" s="140"/>
      <c r="CE139" s="140"/>
      <c r="CF139" s="140"/>
    </row>
    <row r="140" spans="1:84" ht="12" customHeight="1" outlineLevel="4">
      <c r="A140" s="129"/>
      <c r="B140" s="129"/>
      <c r="C140" s="129">
        <v>5</v>
      </c>
      <c r="D140" s="232" t="s">
        <v>1770</v>
      </c>
      <c r="E140" s="233"/>
      <c r="F140" s="233"/>
      <c r="G140" s="233"/>
      <c r="H140" s="233"/>
      <c r="I140" s="233" t="s">
        <v>1621</v>
      </c>
      <c r="J140" s="233"/>
      <c r="K140" s="233"/>
      <c r="L140" s="233"/>
      <c r="M140" s="233"/>
      <c r="N140" s="233"/>
      <c r="O140" s="233"/>
      <c r="P140" s="132">
        <v>44382</v>
      </c>
      <c r="Q140" s="132">
        <v>44393</v>
      </c>
      <c r="R140" s="235"/>
      <c r="S140" s="236">
        <v>10</v>
      </c>
      <c r="T140" s="236">
        <v>0</v>
      </c>
      <c r="U140" s="236">
        <v>10</v>
      </c>
      <c r="V140" s="236">
        <v>0</v>
      </c>
      <c r="W140" s="234"/>
      <c r="X140" s="234"/>
      <c r="Y140" s="237"/>
      <c r="Z140" s="238">
        <v>0</v>
      </c>
      <c r="AA140" s="236"/>
      <c r="AB140" s="235" t="s">
        <v>1410</v>
      </c>
      <c r="AC140" s="239"/>
      <c r="AD140" s="240">
        <v>0</v>
      </c>
      <c r="AE140" s="165">
        <v>0</v>
      </c>
      <c r="AF140" s="139"/>
      <c r="AG140" s="140"/>
      <c r="AH140" s="140"/>
      <c r="AI140" s="140"/>
      <c r="AJ140" s="140"/>
      <c r="AK140" s="140"/>
      <c r="AL140" s="140"/>
      <c r="AM140" s="140"/>
      <c r="AN140" s="140"/>
      <c r="AO140" s="140"/>
      <c r="AP140" s="140"/>
      <c r="AQ140" s="140"/>
      <c r="AR140" s="140"/>
      <c r="AS140" s="140"/>
      <c r="AT140" s="140"/>
      <c r="AU140" s="140"/>
      <c r="AV140" s="140"/>
      <c r="AW140" s="140"/>
      <c r="AX140" s="140"/>
      <c r="AY140" s="140"/>
      <c r="AZ140" s="140"/>
      <c r="BA140" s="140"/>
      <c r="BB140" s="140"/>
      <c r="BC140" s="140"/>
      <c r="BD140" s="140"/>
      <c r="BE140" s="140"/>
      <c r="BF140" s="140" t="str">
        <f>" " &amp; TEXT(AE140,"#0.00%") &amp; " " &amp; "user tool 결과분석 1" &amp; "(신용윤)" &amp; " " &amp; IF(P140="","",TEXT(P140,"M/D-")) &amp; IF(Q140="","",TEXT(Q140,"M/D")) &amp; " "</f>
        <v xml:space="preserve"> 0.00% user tool 결과분석 1(신용윤) 7/5-7/16 </v>
      </c>
      <c r="BG140" s="140"/>
      <c r="BH140" s="140"/>
      <c r="BI140" s="140"/>
      <c r="BJ140" s="140"/>
      <c r="BK140" s="140"/>
      <c r="BL140" s="140"/>
      <c r="BM140" s="140"/>
      <c r="BN140" s="140"/>
      <c r="BO140" s="140"/>
      <c r="BP140" s="140"/>
      <c r="BQ140" s="140"/>
      <c r="BR140" s="140"/>
      <c r="BS140" s="140"/>
      <c r="BT140" s="140"/>
      <c r="BU140" s="140"/>
      <c r="BV140" s="140"/>
      <c r="BW140" s="140"/>
      <c r="BX140" s="140"/>
      <c r="BY140" s="140"/>
      <c r="BZ140" s="140"/>
      <c r="CA140" s="140"/>
      <c r="CB140" s="140"/>
      <c r="CC140" s="140"/>
      <c r="CD140" s="140"/>
      <c r="CE140" s="140"/>
      <c r="CF140" s="140"/>
    </row>
    <row r="141" spans="1:84" ht="12" customHeight="1" outlineLevel="4">
      <c r="A141" s="129"/>
      <c r="B141" s="129"/>
      <c r="C141" s="129">
        <v>5</v>
      </c>
      <c r="D141" s="232" t="s">
        <v>1771</v>
      </c>
      <c r="E141" s="233"/>
      <c r="F141" s="233"/>
      <c r="G141" s="233"/>
      <c r="H141" s="233"/>
      <c r="I141" s="233" t="s">
        <v>1622</v>
      </c>
      <c r="J141" s="233"/>
      <c r="K141" s="233"/>
      <c r="L141" s="233"/>
      <c r="M141" s="233"/>
      <c r="N141" s="233"/>
      <c r="O141" s="233"/>
      <c r="P141" s="132">
        <v>44396</v>
      </c>
      <c r="Q141" s="132">
        <v>44407</v>
      </c>
      <c r="R141" s="235"/>
      <c r="S141" s="236">
        <v>10</v>
      </c>
      <c r="T141" s="236">
        <v>0</v>
      </c>
      <c r="U141" s="236">
        <v>10</v>
      </c>
      <c r="V141" s="236">
        <v>0</v>
      </c>
      <c r="W141" s="234"/>
      <c r="X141" s="234"/>
      <c r="Y141" s="237"/>
      <c r="Z141" s="238">
        <v>0</v>
      </c>
      <c r="AA141" s="236"/>
      <c r="AB141" s="235"/>
      <c r="AC141" s="239"/>
      <c r="AD141" s="240">
        <v>0</v>
      </c>
      <c r="AE141" s="165">
        <v>0</v>
      </c>
      <c r="AF141" s="139"/>
      <c r="AG141" s="140"/>
      <c r="AH141" s="140"/>
      <c r="AI141" s="140"/>
      <c r="AJ141" s="140"/>
      <c r="AK141" s="140"/>
      <c r="AL141" s="140"/>
      <c r="AM141" s="140"/>
      <c r="AN141" s="140"/>
      <c r="AO141" s="140"/>
      <c r="AP141" s="140"/>
      <c r="AQ141" s="140"/>
      <c r="AR141" s="140"/>
      <c r="AS141" s="140"/>
      <c r="AT141" s="140"/>
      <c r="AU141" s="140"/>
      <c r="AV141" s="140"/>
      <c r="AW141" s="140"/>
      <c r="AX141" s="140"/>
      <c r="AY141" s="140"/>
      <c r="AZ141" s="140"/>
      <c r="BA141" s="140"/>
      <c r="BB141" s="140"/>
      <c r="BC141" s="140"/>
      <c r="BD141" s="140"/>
      <c r="BE141" s="140"/>
      <c r="BF141" s="140"/>
      <c r="BG141" s="140"/>
      <c r="BH141" s="140" t="str">
        <f>" " &amp; TEXT(AE141,"#0.00%") &amp; " " &amp; "user tool 결과분석 2" &amp; " " &amp; IF(P141="","",TEXT(P141,"M/D-")) &amp; IF(Q141="","",TEXT(Q141,"M/D")) &amp; " "</f>
        <v xml:space="preserve"> 0.00% user tool 결과분석 2 7/19-7/30 </v>
      </c>
      <c r="BI141" s="140"/>
      <c r="BJ141" s="140"/>
      <c r="BK141" s="140"/>
      <c r="BL141" s="140"/>
      <c r="BM141" s="140"/>
      <c r="BN141" s="140"/>
      <c r="BO141" s="140"/>
      <c r="BP141" s="140"/>
      <c r="BQ141" s="140"/>
      <c r="BR141" s="140"/>
      <c r="BS141" s="140"/>
      <c r="BT141" s="140"/>
      <c r="BU141" s="140"/>
      <c r="BV141" s="140"/>
      <c r="BW141" s="140"/>
      <c r="BX141" s="140"/>
      <c r="BY141" s="140"/>
      <c r="BZ141" s="140"/>
      <c r="CA141" s="140"/>
      <c r="CB141" s="140"/>
      <c r="CC141" s="140"/>
      <c r="CD141" s="140"/>
      <c r="CE141" s="140"/>
      <c r="CF141" s="140"/>
    </row>
    <row r="142" spans="1:84" ht="12" customHeight="1" outlineLevel="4">
      <c r="A142" s="129"/>
      <c r="B142" s="129"/>
      <c r="C142" s="129">
        <v>5</v>
      </c>
      <c r="D142" s="232" t="s">
        <v>1772</v>
      </c>
      <c r="E142" s="233"/>
      <c r="F142" s="233"/>
      <c r="G142" s="233"/>
      <c r="H142" s="233"/>
      <c r="I142" s="233" t="s">
        <v>1623</v>
      </c>
      <c r="J142" s="233"/>
      <c r="K142" s="233"/>
      <c r="L142" s="233"/>
      <c r="M142" s="233"/>
      <c r="N142" s="233"/>
      <c r="O142" s="233"/>
      <c r="P142" s="132">
        <v>44410</v>
      </c>
      <c r="Q142" s="132">
        <v>44421</v>
      </c>
      <c r="R142" s="235"/>
      <c r="S142" s="236">
        <v>10</v>
      </c>
      <c r="T142" s="236">
        <v>0</v>
      </c>
      <c r="U142" s="236">
        <v>10</v>
      </c>
      <c r="V142" s="236">
        <v>0</v>
      </c>
      <c r="W142" s="234"/>
      <c r="X142" s="234"/>
      <c r="Y142" s="237"/>
      <c r="Z142" s="238">
        <v>0</v>
      </c>
      <c r="AA142" s="236"/>
      <c r="AB142" s="235" t="s">
        <v>1410</v>
      </c>
      <c r="AC142" s="239"/>
      <c r="AD142" s="240">
        <v>0</v>
      </c>
      <c r="AE142" s="165">
        <v>0</v>
      </c>
      <c r="AF142" s="139"/>
      <c r="AG142" s="140"/>
      <c r="AH142" s="140"/>
      <c r="AI142" s="140"/>
      <c r="AJ142" s="140"/>
      <c r="AK142" s="140"/>
      <c r="AL142" s="140"/>
      <c r="AM142" s="140"/>
      <c r="AN142" s="140"/>
      <c r="AO142" s="140"/>
      <c r="AP142" s="140"/>
      <c r="AQ142" s="140"/>
      <c r="AR142" s="140"/>
      <c r="AS142" s="140"/>
      <c r="AT142" s="140"/>
      <c r="AU142" s="140"/>
      <c r="AV142" s="140"/>
      <c r="AW142" s="140"/>
      <c r="AX142" s="140"/>
      <c r="AY142" s="140"/>
      <c r="AZ142" s="140"/>
      <c r="BA142" s="140"/>
      <c r="BB142" s="140"/>
      <c r="BC142" s="140"/>
      <c r="BD142" s="140"/>
      <c r="BE142" s="140"/>
      <c r="BF142" s="140"/>
      <c r="BG142" s="140"/>
      <c r="BH142" s="140"/>
      <c r="BI142" s="140"/>
      <c r="BJ142" s="140" t="str">
        <f>" " &amp; TEXT(AE142,"#0.00%") &amp; " " &amp; "user tool 코드 최적화 1" &amp; "(신용윤)" &amp; " " &amp; IF(P142="","",TEXT(P142,"M/D-")) &amp; IF(Q142="","",TEXT(Q142,"M/D")) &amp; " "</f>
        <v xml:space="preserve"> 0.00% user tool 코드 최적화 1(신용윤) 8/2-8/13 </v>
      </c>
      <c r="BK142" s="140"/>
      <c r="BL142" s="140"/>
      <c r="BM142" s="140"/>
      <c r="BN142" s="140"/>
      <c r="BO142" s="140"/>
      <c r="BP142" s="140"/>
      <c r="BQ142" s="140"/>
      <c r="BR142" s="140"/>
      <c r="BS142" s="140"/>
      <c r="BT142" s="140"/>
      <c r="BU142" s="140"/>
      <c r="BV142" s="140"/>
      <c r="BW142" s="140"/>
      <c r="BX142" s="140"/>
      <c r="BY142" s="140"/>
      <c r="BZ142" s="140"/>
      <c r="CA142" s="140"/>
      <c r="CB142" s="140"/>
      <c r="CC142" s="140"/>
      <c r="CD142" s="140"/>
      <c r="CE142" s="140"/>
      <c r="CF142" s="140"/>
    </row>
    <row r="143" spans="1:84" ht="12" customHeight="1" outlineLevel="4">
      <c r="A143" s="129"/>
      <c r="B143" s="129"/>
      <c r="C143" s="129">
        <v>5</v>
      </c>
      <c r="D143" s="232" t="s">
        <v>1773</v>
      </c>
      <c r="E143" s="233"/>
      <c r="F143" s="233"/>
      <c r="G143" s="233"/>
      <c r="H143" s="233"/>
      <c r="I143" s="233" t="s">
        <v>1624</v>
      </c>
      <c r="J143" s="233"/>
      <c r="K143" s="233"/>
      <c r="L143" s="233"/>
      <c r="M143" s="233"/>
      <c r="N143" s="233"/>
      <c r="O143" s="233"/>
      <c r="P143" s="132">
        <v>44424</v>
      </c>
      <c r="Q143" s="132">
        <v>44435</v>
      </c>
      <c r="R143" s="235"/>
      <c r="S143" s="236">
        <v>10</v>
      </c>
      <c r="T143" s="236">
        <v>0</v>
      </c>
      <c r="U143" s="236">
        <v>10</v>
      </c>
      <c r="V143" s="236">
        <v>0</v>
      </c>
      <c r="W143" s="234"/>
      <c r="X143" s="234"/>
      <c r="Y143" s="237"/>
      <c r="Z143" s="238">
        <v>0</v>
      </c>
      <c r="AA143" s="236"/>
      <c r="AB143" s="235"/>
      <c r="AC143" s="239"/>
      <c r="AD143" s="240">
        <v>0</v>
      </c>
      <c r="AE143" s="165">
        <v>0</v>
      </c>
      <c r="AF143" s="139"/>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t="str">
        <f>" " &amp; TEXT(AE143,"#0.00%") &amp; " " &amp; "user tool 코드 최적화 2" &amp; " " &amp; IF(P143="","",TEXT(P143,"M/D-")) &amp; IF(Q143="","",TEXT(Q143,"M/D")) &amp; " "</f>
        <v xml:space="preserve"> 0.00% user tool 코드 최적화 2 8/16-8/27 </v>
      </c>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row>
    <row r="144" spans="1:84" ht="12" customHeight="1" outlineLevel="4">
      <c r="A144" s="129"/>
      <c r="B144" s="129"/>
      <c r="C144" s="129">
        <v>5</v>
      </c>
      <c r="D144" s="232" t="s">
        <v>1774</v>
      </c>
      <c r="E144" s="233"/>
      <c r="F144" s="233"/>
      <c r="G144" s="233"/>
      <c r="H144" s="233"/>
      <c r="I144" s="233" t="s">
        <v>1625</v>
      </c>
      <c r="J144" s="233"/>
      <c r="K144" s="233"/>
      <c r="L144" s="233"/>
      <c r="M144" s="233"/>
      <c r="N144" s="233"/>
      <c r="O144" s="233"/>
      <c r="P144" s="132">
        <v>44438</v>
      </c>
      <c r="Q144" s="132">
        <v>44449</v>
      </c>
      <c r="R144" s="235"/>
      <c r="S144" s="236">
        <v>10</v>
      </c>
      <c r="T144" s="236">
        <v>0</v>
      </c>
      <c r="U144" s="236">
        <v>10</v>
      </c>
      <c r="V144" s="236">
        <v>0</v>
      </c>
      <c r="W144" s="234"/>
      <c r="X144" s="234"/>
      <c r="Y144" s="237"/>
      <c r="Z144" s="238">
        <v>0</v>
      </c>
      <c r="AA144" s="236"/>
      <c r="AB144" s="235"/>
      <c r="AC144" s="239"/>
      <c r="AD144" s="240">
        <v>0</v>
      </c>
      <c r="AE144" s="165">
        <v>0</v>
      </c>
      <c r="AF144" s="139"/>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t="str">
        <f>" " &amp; TEXT(AE144,"#0.00%") &amp; " " &amp; "user tool 코드 최적화 3" &amp; " " &amp; IF(P144="","",TEXT(P144,"M/D-")) &amp; IF(Q144="","",TEXT(Q144,"M/D")) &amp; " "</f>
        <v xml:space="preserve"> 0.00% user tool 코드 최적화 3 8/30-9/10 </v>
      </c>
      <c r="BO144" s="140"/>
      <c r="BP144" s="140"/>
      <c r="BQ144" s="140"/>
      <c r="BR144" s="140"/>
      <c r="BS144" s="140"/>
      <c r="BT144" s="140"/>
      <c r="BU144" s="140"/>
      <c r="BV144" s="140"/>
      <c r="BW144" s="140"/>
      <c r="BX144" s="140"/>
      <c r="BY144" s="140"/>
      <c r="BZ144" s="140"/>
      <c r="CA144" s="140"/>
      <c r="CB144" s="140"/>
      <c r="CC144" s="140"/>
      <c r="CD144" s="140"/>
      <c r="CE144" s="140"/>
      <c r="CF144" s="140"/>
    </row>
    <row r="145" spans="1:84" ht="12" customHeight="1" outlineLevel="4">
      <c r="A145" s="129"/>
      <c r="B145" s="129"/>
      <c r="C145" s="129">
        <v>5</v>
      </c>
      <c r="D145" s="232" t="s">
        <v>1775</v>
      </c>
      <c r="E145" s="233"/>
      <c r="F145" s="233"/>
      <c r="G145" s="233"/>
      <c r="H145" s="233"/>
      <c r="I145" s="233" t="s">
        <v>1626</v>
      </c>
      <c r="J145" s="233"/>
      <c r="K145" s="233"/>
      <c r="L145" s="233"/>
      <c r="M145" s="233"/>
      <c r="N145" s="233"/>
      <c r="O145" s="233"/>
      <c r="P145" s="224">
        <v>44508</v>
      </c>
      <c r="Q145" s="224">
        <v>44519</v>
      </c>
      <c r="R145" s="235"/>
      <c r="S145" s="236">
        <v>10</v>
      </c>
      <c r="T145" s="236">
        <v>0</v>
      </c>
      <c r="U145" s="236">
        <v>10</v>
      </c>
      <c r="V145" s="236">
        <v>0</v>
      </c>
      <c r="W145" s="234"/>
      <c r="X145" s="234"/>
      <c r="Y145" s="237"/>
      <c r="Z145" s="238">
        <v>0</v>
      </c>
      <c r="AA145" s="236"/>
      <c r="AB145" s="235" t="s">
        <v>1405</v>
      </c>
      <c r="AC145" s="239"/>
      <c r="AD145" s="240">
        <v>0</v>
      </c>
      <c r="AE145" s="165">
        <v>0</v>
      </c>
      <c r="AF145" s="139"/>
      <c r="AG145" s="140"/>
      <c r="AH145" s="140"/>
      <c r="AI145" s="140"/>
      <c r="AJ145" s="140"/>
      <c r="AK145" s="140"/>
      <c r="AL145" s="140"/>
      <c r="AM145" s="140"/>
      <c r="AN145" s="140"/>
      <c r="AO145" s="140"/>
      <c r="AP145" s="140"/>
      <c r="AQ145" s="140"/>
      <c r="AR145" s="140"/>
      <c r="AS145" s="140"/>
      <c r="AT145" s="140"/>
      <c r="AU145" s="140"/>
      <c r="AV145" s="140"/>
      <c r="AW145" s="140"/>
      <c r="AX145" s="140"/>
      <c r="AY145" s="140"/>
      <c r="AZ145" s="140"/>
      <c r="BA145" s="140"/>
      <c r="BB145" s="140"/>
      <c r="BC145" s="140"/>
      <c r="BD145" s="140"/>
      <c r="BE145" s="140"/>
      <c r="BF145" s="140"/>
      <c r="BG145" s="140"/>
      <c r="BH145" s="140"/>
      <c r="BI145" s="140"/>
      <c r="BJ145" s="140"/>
      <c r="BK145" s="140"/>
      <c r="BL145" s="140"/>
      <c r="BM145" s="140"/>
      <c r="BN145" s="140"/>
      <c r="BO145" s="140"/>
      <c r="BP145" s="140"/>
      <c r="BQ145" s="140"/>
      <c r="BR145" s="140"/>
      <c r="BS145" s="140"/>
      <c r="BT145" s="140"/>
      <c r="BU145" s="140"/>
      <c r="BV145" s="140"/>
      <c r="BW145" s="140"/>
      <c r="BX145" s="140" t="str">
        <f>" " &amp; TEXT(AE145,"#0.00%") &amp; " " &amp; "동적 노드 구성 결과 분석 1" &amp; "(박세형)" &amp; " " &amp; IF(P145="","",TEXT(P145,"M/D-")) &amp; IF(Q145="","",TEXT(Q145,"M/D")) &amp; " "</f>
        <v xml:space="preserve"> 0.00% 동적 노드 구성 결과 분석 1(박세형) 11/8-11/19 </v>
      </c>
      <c r="BY145" s="140"/>
      <c r="BZ145" s="140"/>
      <c r="CA145" s="140"/>
      <c r="CB145" s="140"/>
      <c r="CC145" s="140"/>
      <c r="CD145" s="140"/>
      <c r="CE145" s="140"/>
      <c r="CF145" s="140"/>
    </row>
    <row r="146" spans="1:84" ht="12" customHeight="1" outlineLevel="4">
      <c r="A146" s="129"/>
      <c r="B146" s="129"/>
      <c r="C146" s="129">
        <v>5</v>
      </c>
      <c r="D146" s="232" t="s">
        <v>1776</v>
      </c>
      <c r="E146" s="233"/>
      <c r="F146" s="233"/>
      <c r="G146" s="233"/>
      <c r="H146" s="233"/>
      <c r="I146" s="233" t="s">
        <v>1627</v>
      </c>
      <c r="J146" s="233"/>
      <c r="K146" s="233"/>
      <c r="L146" s="233"/>
      <c r="M146" s="233"/>
      <c r="N146" s="233"/>
      <c r="O146" s="233"/>
      <c r="P146" s="224">
        <v>44522</v>
      </c>
      <c r="Q146" s="224">
        <v>44533</v>
      </c>
      <c r="R146" s="235"/>
      <c r="S146" s="236">
        <v>10</v>
      </c>
      <c r="T146" s="236">
        <v>0</v>
      </c>
      <c r="U146" s="236">
        <v>10</v>
      </c>
      <c r="V146" s="236">
        <v>0</v>
      </c>
      <c r="W146" s="234"/>
      <c r="X146" s="234"/>
      <c r="Y146" s="237"/>
      <c r="Z146" s="238">
        <v>0</v>
      </c>
      <c r="AA146" s="236"/>
      <c r="AB146" s="235"/>
      <c r="AC146" s="239"/>
      <c r="AD146" s="240">
        <v>0</v>
      </c>
      <c r="AE146" s="165">
        <v>0</v>
      </c>
      <c r="AF146" s="139"/>
      <c r="AG146" s="140"/>
      <c r="AH146" s="140"/>
      <c r="AI146" s="140"/>
      <c r="AJ146" s="140"/>
      <c r="AK146" s="140"/>
      <c r="AL146" s="140"/>
      <c r="AM146" s="140"/>
      <c r="AN146" s="140"/>
      <c r="AO146" s="140"/>
      <c r="AP146" s="140"/>
      <c r="AQ146" s="140"/>
      <c r="AR146" s="140"/>
      <c r="AS146" s="140"/>
      <c r="AT146" s="140"/>
      <c r="AU146" s="140"/>
      <c r="AV146" s="140"/>
      <c r="AW146" s="140"/>
      <c r="AX146" s="140"/>
      <c r="AY146" s="140"/>
      <c r="AZ146" s="140"/>
      <c r="BA146" s="140"/>
      <c r="BB146" s="140"/>
      <c r="BC146" s="140"/>
      <c r="BD146" s="140"/>
      <c r="BE146" s="140"/>
      <c r="BF146" s="140"/>
      <c r="BG146" s="140"/>
      <c r="BH146" s="140"/>
      <c r="BI146" s="140"/>
      <c r="BJ146" s="140"/>
      <c r="BK146" s="140"/>
      <c r="BL146" s="140"/>
      <c r="BM146" s="140"/>
      <c r="BN146" s="140"/>
      <c r="BO146" s="140"/>
      <c r="BP146" s="140"/>
      <c r="BQ146" s="140"/>
      <c r="BR146" s="140"/>
      <c r="BS146" s="140"/>
      <c r="BT146" s="140"/>
      <c r="BU146" s="140"/>
      <c r="BV146" s="140"/>
      <c r="BW146" s="140"/>
      <c r="BX146" s="140"/>
      <c r="BY146" s="140"/>
      <c r="BZ146" s="140" t="str">
        <f>" " &amp; TEXT(AE146,"#0.00%") &amp; " " &amp; "동적 노드 구성 결과 분석 2" &amp; " " &amp; IF(P146="","",TEXT(P146,"M/D-")) &amp; IF(Q146="","",TEXT(Q146,"M/D")) &amp; " "</f>
        <v xml:space="preserve"> 0.00% 동적 노드 구성 결과 분석 2 11/22-12/3 </v>
      </c>
      <c r="CA146" s="140"/>
      <c r="CB146" s="140"/>
      <c r="CC146" s="140"/>
      <c r="CD146" s="140"/>
      <c r="CE146" s="140"/>
      <c r="CF146" s="140"/>
    </row>
    <row r="147" spans="1:84" ht="12" customHeight="1" outlineLevel="4">
      <c r="A147" s="129"/>
      <c r="B147" s="129"/>
      <c r="C147" s="129">
        <v>5</v>
      </c>
      <c r="D147" s="130" t="s">
        <v>1777</v>
      </c>
      <c r="E147" s="131"/>
      <c r="F147" s="131"/>
      <c r="G147" s="131"/>
      <c r="H147" s="131"/>
      <c r="I147" s="131" t="s">
        <v>1628</v>
      </c>
      <c r="J147" s="131"/>
      <c r="K147" s="131"/>
      <c r="L147" s="131"/>
      <c r="M147" s="131"/>
      <c r="N147" s="131"/>
      <c r="O147" s="131"/>
      <c r="P147" s="224">
        <v>44536</v>
      </c>
      <c r="Q147" s="224">
        <v>44547</v>
      </c>
      <c r="R147" s="133"/>
      <c r="S147" s="134">
        <v>10</v>
      </c>
      <c r="T147" s="134">
        <v>0</v>
      </c>
      <c r="U147" s="134">
        <v>10</v>
      </c>
      <c r="V147" s="134">
        <v>0</v>
      </c>
      <c r="W147" s="132"/>
      <c r="X147" s="132"/>
      <c r="Y147" s="135"/>
      <c r="Z147" s="136">
        <v>0</v>
      </c>
      <c r="AA147" s="134"/>
      <c r="AB147" s="133" t="s">
        <v>1405</v>
      </c>
      <c r="AC147" s="137"/>
      <c r="AD147" s="138">
        <v>0</v>
      </c>
      <c r="AE147" s="165">
        <v>0</v>
      </c>
      <c r="AF147" s="139"/>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c r="BH147" s="140"/>
      <c r="BI147" s="140"/>
      <c r="BJ147" s="140"/>
      <c r="BK147" s="140"/>
      <c r="BL147" s="140"/>
      <c r="BM147" s="140"/>
      <c r="BN147" s="140"/>
      <c r="BO147" s="140"/>
      <c r="BP147" s="140"/>
      <c r="BQ147" s="140"/>
      <c r="BR147" s="140"/>
      <c r="BS147" s="140"/>
      <c r="BT147" s="140"/>
      <c r="BU147" s="140"/>
      <c r="BV147" s="140"/>
      <c r="BW147" s="140"/>
      <c r="BX147" s="140"/>
      <c r="BY147" s="140"/>
      <c r="BZ147" s="140"/>
      <c r="CA147" s="140"/>
      <c r="CB147" s="140" t="str">
        <f>" " &amp; TEXT(AE147,"#0.00%") &amp; " " &amp; "동적 노드 구성 코드 최적화 1" &amp; "(박세형)" &amp; " " &amp; IF(P147="","",TEXT(P147,"M/D-")) &amp; IF(Q147="","",TEXT(Q147,"M/D")) &amp; " "</f>
        <v xml:space="preserve"> 0.00% 동적 노드 구성 코드 최적화 1(박세형) 12/6-12/17 </v>
      </c>
      <c r="CC147" s="140"/>
      <c r="CD147" s="140"/>
      <c r="CE147" s="140"/>
      <c r="CF147" s="140"/>
    </row>
    <row r="148" spans="1:84" ht="12" customHeight="1" outlineLevel="4">
      <c r="A148" s="129"/>
      <c r="B148" s="129"/>
      <c r="C148" s="129">
        <v>5</v>
      </c>
      <c r="D148" s="130" t="s">
        <v>1778</v>
      </c>
      <c r="E148" s="131"/>
      <c r="F148" s="131"/>
      <c r="G148" s="131"/>
      <c r="H148" s="131"/>
      <c r="I148" s="131" t="s">
        <v>1629</v>
      </c>
      <c r="J148" s="131"/>
      <c r="K148" s="131"/>
      <c r="L148" s="131"/>
      <c r="M148" s="131"/>
      <c r="N148" s="131"/>
      <c r="O148" s="131"/>
      <c r="P148" s="224">
        <v>44550</v>
      </c>
      <c r="Q148" s="224">
        <v>44561</v>
      </c>
      <c r="R148" s="133"/>
      <c r="S148" s="134">
        <v>10</v>
      </c>
      <c r="T148" s="134">
        <v>0</v>
      </c>
      <c r="U148" s="134">
        <v>10</v>
      </c>
      <c r="V148" s="134">
        <v>0</v>
      </c>
      <c r="W148" s="132"/>
      <c r="X148" s="132"/>
      <c r="Y148" s="135"/>
      <c r="Z148" s="136">
        <v>0</v>
      </c>
      <c r="AA148" s="134"/>
      <c r="AB148" s="133"/>
      <c r="AC148" s="137"/>
      <c r="AD148" s="138">
        <v>0</v>
      </c>
      <c r="AE148" s="165">
        <v>0</v>
      </c>
      <c r="AF148" s="139"/>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c r="BH148" s="140"/>
      <c r="BI148" s="140"/>
      <c r="BJ148" s="140"/>
      <c r="BK148" s="140"/>
      <c r="BL148" s="140"/>
      <c r="BM148" s="140"/>
      <c r="BN148" s="140"/>
      <c r="BO148" s="140"/>
      <c r="BP148" s="140"/>
      <c r="BQ148" s="140"/>
      <c r="BR148" s="140"/>
      <c r="BS148" s="140"/>
      <c r="BT148" s="140"/>
      <c r="BU148" s="140"/>
      <c r="BV148" s="140"/>
      <c r="BW148" s="140"/>
      <c r="BX148" s="140"/>
      <c r="BY148" s="140"/>
      <c r="BZ148" s="140"/>
      <c r="CA148" s="140"/>
      <c r="CB148" s="140"/>
      <c r="CC148" s="140"/>
      <c r="CD148" s="140" t="str">
        <f>" " &amp; TEXT(AE148,"#0.00%") &amp; " " &amp; "동적 노드 구성 코드 최적화 2" &amp; " " &amp; IF(P148="","",TEXT(P148,"M/D-")) &amp; IF(Q148="","",TEXT(Q148,"M/D")) &amp; " "</f>
        <v xml:space="preserve"> 0.00% 동적 노드 구성 코드 최적화 2 12/20-12/31 </v>
      </c>
      <c r="CE148" s="140"/>
      <c r="CF148" s="140"/>
    </row>
    <row r="149" spans="1:84" ht="12" customHeight="1" outlineLevel="1">
      <c r="A149" s="129"/>
      <c r="B149" s="129" t="s">
        <v>1345</v>
      </c>
      <c r="C149" s="129">
        <v>2</v>
      </c>
      <c r="D149" s="206" t="s">
        <v>1071</v>
      </c>
      <c r="E149" s="207"/>
      <c r="F149" s="207" t="s">
        <v>1388</v>
      </c>
      <c r="G149" s="207"/>
      <c r="H149" s="207"/>
      <c r="I149" s="207"/>
      <c r="J149" s="207"/>
      <c r="K149" s="207"/>
      <c r="L149" s="207"/>
      <c r="M149" s="207"/>
      <c r="N149" s="207"/>
      <c r="O149" s="207"/>
      <c r="P149" s="217">
        <v>44284</v>
      </c>
      <c r="Q149" s="217">
        <v>44561</v>
      </c>
      <c r="R149" s="216"/>
      <c r="S149" s="218">
        <v>78</v>
      </c>
      <c r="T149" s="218">
        <v>0</v>
      </c>
      <c r="U149" s="218">
        <v>195</v>
      </c>
      <c r="V149" s="218">
        <v>0</v>
      </c>
      <c r="W149" s="217"/>
      <c r="X149" s="217"/>
      <c r="Y149" s="219">
        <v>0</v>
      </c>
      <c r="Z149" s="220">
        <v>0</v>
      </c>
      <c r="AA149" s="218"/>
      <c r="AB149" s="216" t="s">
        <v>1410</v>
      </c>
      <c r="AC149" s="221"/>
      <c r="AD149" s="222">
        <v>0</v>
      </c>
      <c r="AE149" s="192">
        <v>0</v>
      </c>
      <c r="AF149" s="139"/>
      <c r="AG149" s="140"/>
      <c r="AH149" s="140"/>
      <c r="AI149" s="140"/>
      <c r="AJ149" s="140"/>
      <c r="AK149" s="140"/>
      <c r="AL149" s="140"/>
      <c r="AM149" s="140"/>
      <c r="AN149" s="140"/>
      <c r="AO149" s="140"/>
      <c r="AP149" s="140"/>
      <c r="AQ149" s="140"/>
      <c r="AR149" s="140" t="str">
        <f>" " &amp; TEXT(AE149,"#0.00%") &amp; " "</f>
        <v xml:space="preserve"> 0.00% </v>
      </c>
      <c r="AS149" s="140"/>
      <c r="AT149" s="140"/>
      <c r="AU149" s="140"/>
      <c r="AV149" s="140"/>
      <c r="AW149" s="140"/>
      <c r="AX149" s="140"/>
      <c r="AY149" s="140"/>
      <c r="AZ149" s="140"/>
      <c r="BA149" s="140"/>
      <c r="BB149" s="140"/>
      <c r="BC149" s="140"/>
      <c r="BD149" s="140"/>
      <c r="BE149" s="140"/>
      <c r="BF149" s="140"/>
      <c r="BG149" s="140"/>
      <c r="BH149" s="140"/>
      <c r="BI149" s="140"/>
      <c r="BJ149" s="140"/>
      <c r="BK149" s="140"/>
      <c r="BL149" s="140"/>
      <c r="BM149" s="140"/>
      <c r="BN149" s="140"/>
      <c r="BO149" s="140"/>
      <c r="BP149" s="140"/>
      <c r="BQ149" s="140"/>
      <c r="BR149" s="140"/>
      <c r="BS149" s="140"/>
      <c r="BT149" s="140"/>
      <c r="BU149" s="140"/>
      <c r="BV149" s="140"/>
      <c r="BW149" s="140"/>
      <c r="BX149" s="140"/>
      <c r="BY149" s="140"/>
      <c r="BZ149" s="140"/>
      <c r="CA149" s="140"/>
      <c r="CB149" s="140"/>
      <c r="CC149" s="140"/>
      <c r="CD149" s="140"/>
      <c r="CE149" s="140" t="str">
        <f>"      " &amp; "KOREN적용" &amp; "(신용윤)" &amp; " " &amp; IF(P149="","",TEXT(P149,"M/D-")) &amp; IF(Q149="","",TEXT(Q149,"M/D")) &amp; " "</f>
        <v xml:space="preserve">      KOREN적용(신용윤) 3/29-12/31 </v>
      </c>
      <c r="CF149" s="140"/>
    </row>
    <row r="150" spans="1:84" ht="12" customHeight="1" outlineLevel="2">
      <c r="A150" s="129"/>
      <c r="B150" s="129" t="s">
        <v>1345</v>
      </c>
      <c r="C150" s="129">
        <v>3</v>
      </c>
      <c r="D150" s="206" t="s">
        <v>1072</v>
      </c>
      <c r="E150" s="207"/>
      <c r="F150" s="207"/>
      <c r="G150" s="207" t="s">
        <v>1468</v>
      </c>
      <c r="H150" s="207"/>
      <c r="I150" s="207"/>
      <c r="J150" s="207"/>
      <c r="K150" s="207"/>
      <c r="L150" s="207"/>
      <c r="M150" s="207"/>
      <c r="N150" s="207"/>
      <c r="O150" s="207"/>
      <c r="P150" s="217">
        <v>44284</v>
      </c>
      <c r="Q150" s="217">
        <v>44337</v>
      </c>
      <c r="R150" s="216"/>
      <c r="S150" s="218">
        <v>38</v>
      </c>
      <c r="T150" s="218">
        <v>0</v>
      </c>
      <c r="U150" s="218">
        <v>38</v>
      </c>
      <c r="V150" s="218">
        <v>0</v>
      </c>
      <c r="W150" s="217"/>
      <c r="X150" s="217"/>
      <c r="Y150" s="219">
        <v>0</v>
      </c>
      <c r="Z150" s="220">
        <v>0</v>
      </c>
      <c r="AA150" s="218"/>
      <c r="AB150" s="216" t="s">
        <v>1410</v>
      </c>
      <c r="AC150" s="221"/>
      <c r="AD150" s="222">
        <v>0</v>
      </c>
      <c r="AE150" s="192">
        <v>0</v>
      </c>
      <c r="AF150" s="139"/>
      <c r="AG150" s="140"/>
      <c r="AH150" s="140"/>
      <c r="AI150" s="140"/>
      <c r="AJ150" s="140"/>
      <c r="AK150" s="140"/>
      <c r="AL150" s="140"/>
      <c r="AM150" s="140"/>
      <c r="AN150" s="140"/>
      <c r="AO150" s="140"/>
      <c r="AP150" s="140"/>
      <c r="AQ150" s="140"/>
      <c r="AR150" s="140" t="str">
        <f>" " &amp; TEXT(AE150,"#0.00%") &amp; " "</f>
        <v xml:space="preserve"> 0.00% </v>
      </c>
      <c r="AS150" s="140"/>
      <c r="AT150" s="140"/>
      <c r="AU150" s="140"/>
      <c r="AV150" s="140"/>
      <c r="AW150" s="140"/>
      <c r="AX150" s="140"/>
      <c r="AY150" s="140" t="str">
        <f>"      " &amp; "DIFS 2020" &amp; "(신용윤)" &amp; " " &amp; IF(P150="","",TEXT(P150,"M/D-")) &amp; IF(Q150="","",TEXT(Q150,"M/D")) &amp; " "</f>
        <v xml:space="preserve">      DIFS 2020(신용윤) 3/29-5/21 </v>
      </c>
      <c r="AZ150" s="140"/>
      <c r="BA150" s="140"/>
      <c r="BB150" s="140"/>
      <c r="BC150" s="140"/>
      <c r="BD150" s="140"/>
      <c r="BE150" s="140"/>
      <c r="BF150" s="140"/>
      <c r="BG150" s="140"/>
      <c r="BH150" s="140"/>
      <c r="BI150" s="140"/>
      <c r="BJ150" s="140"/>
      <c r="BK150" s="140"/>
      <c r="BL150" s="140"/>
      <c r="BM150" s="140"/>
      <c r="BN150" s="140"/>
      <c r="BO150" s="140"/>
      <c r="BP150" s="140"/>
      <c r="BQ150" s="140"/>
      <c r="BR150" s="140"/>
      <c r="BS150" s="140"/>
      <c r="BT150" s="140"/>
      <c r="BU150" s="140"/>
      <c r="BV150" s="140"/>
      <c r="BW150" s="140"/>
      <c r="BX150" s="140"/>
      <c r="BY150" s="140"/>
      <c r="BZ150" s="140"/>
      <c r="CA150" s="140"/>
      <c r="CB150" s="140"/>
      <c r="CC150" s="140"/>
      <c r="CD150" s="140"/>
      <c r="CE150" s="140"/>
      <c r="CF150" s="140"/>
    </row>
    <row r="151" spans="1:84" ht="12" customHeight="1" outlineLevel="3">
      <c r="A151" s="129"/>
      <c r="B151" s="129" t="s">
        <v>1345</v>
      </c>
      <c r="C151" s="129">
        <v>4</v>
      </c>
      <c r="D151" s="206" t="s">
        <v>1432</v>
      </c>
      <c r="E151" s="207"/>
      <c r="F151" s="207"/>
      <c r="G151" s="207"/>
      <c r="H151" s="207" t="s">
        <v>1469</v>
      </c>
      <c r="I151" s="207"/>
      <c r="J151" s="207"/>
      <c r="K151" s="207"/>
      <c r="L151" s="207"/>
      <c r="M151" s="207"/>
      <c r="N151" s="207"/>
      <c r="O151" s="207"/>
      <c r="P151" s="217">
        <v>44284</v>
      </c>
      <c r="Q151" s="217">
        <v>44309</v>
      </c>
      <c r="R151" s="216"/>
      <c r="S151" s="218">
        <v>20</v>
      </c>
      <c r="T151" s="218">
        <v>0</v>
      </c>
      <c r="U151" s="218">
        <v>20</v>
      </c>
      <c r="V151" s="218">
        <v>0</v>
      </c>
      <c r="W151" s="217"/>
      <c r="X151" s="217"/>
      <c r="Y151" s="219">
        <v>0</v>
      </c>
      <c r="Z151" s="220">
        <v>0</v>
      </c>
      <c r="AA151" s="218"/>
      <c r="AB151" s="216" t="s">
        <v>1410</v>
      </c>
      <c r="AC151" s="221"/>
      <c r="AD151" s="222">
        <v>0</v>
      </c>
      <c r="AE151" s="192">
        <v>0</v>
      </c>
      <c r="AF151" s="139"/>
      <c r="AG151" s="140"/>
      <c r="AH151" s="140"/>
      <c r="AI151" s="140"/>
      <c r="AJ151" s="140"/>
      <c r="AK151" s="140"/>
      <c r="AL151" s="140"/>
      <c r="AM151" s="140"/>
      <c r="AN151" s="140"/>
      <c r="AO151" s="140"/>
      <c r="AP151" s="140"/>
      <c r="AQ151" s="140"/>
      <c r="AR151" s="140" t="str">
        <f>" " &amp; TEXT(AE151,"#0.00%") &amp; " "</f>
        <v xml:space="preserve"> 0.00% </v>
      </c>
      <c r="AS151" s="140"/>
      <c r="AT151" s="140"/>
      <c r="AU151" s="140" t="str">
        <f>"      " &amp; "노드 구성" &amp; "(신용윤)" &amp; " " &amp; IF(P151="","",TEXT(P151,"M/D-")) &amp; IF(Q151="","",TEXT(Q151,"M/D")) &amp; " "</f>
        <v xml:space="preserve">      노드 구성(신용윤) 3/29-4/23 </v>
      </c>
      <c r="AV151" s="140"/>
      <c r="AW151" s="140"/>
      <c r="AX151" s="140"/>
      <c r="AY151" s="140"/>
      <c r="AZ151" s="140"/>
      <c r="BA151" s="140"/>
      <c r="BB151" s="140"/>
      <c r="BC151" s="140"/>
      <c r="BD151" s="140"/>
      <c r="BE151" s="140"/>
      <c r="BF151" s="140"/>
      <c r="BG151" s="140"/>
      <c r="BH151" s="140"/>
      <c r="BI151" s="140"/>
      <c r="BJ151" s="140"/>
      <c r="BK151" s="140"/>
      <c r="BL151" s="140"/>
      <c r="BM151" s="140"/>
      <c r="BN151" s="140"/>
      <c r="BO151" s="140"/>
      <c r="BP151" s="140"/>
      <c r="BQ151" s="140"/>
      <c r="BR151" s="140"/>
      <c r="BS151" s="140"/>
      <c r="BT151" s="140"/>
      <c r="BU151" s="140"/>
      <c r="BV151" s="140"/>
      <c r="BW151" s="140"/>
      <c r="BX151" s="140"/>
      <c r="BY151" s="140"/>
      <c r="BZ151" s="140"/>
      <c r="CA151" s="140"/>
      <c r="CB151" s="140"/>
      <c r="CC151" s="140"/>
      <c r="CD151" s="140"/>
      <c r="CE151" s="140"/>
      <c r="CF151" s="140"/>
    </row>
    <row r="152" spans="1:84" ht="12" customHeight="1" outlineLevel="4">
      <c r="A152" s="129"/>
      <c r="B152" s="129"/>
      <c r="C152" s="129">
        <v>5</v>
      </c>
      <c r="D152" s="231" t="s">
        <v>1779</v>
      </c>
      <c r="E152" s="223"/>
      <c r="F152" s="223"/>
      <c r="G152" s="223"/>
      <c r="H152" s="223"/>
      <c r="I152" s="223" t="s">
        <v>1630</v>
      </c>
      <c r="J152" s="223"/>
      <c r="K152" s="223"/>
      <c r="L152" s="223"/>
      <c r="M152" s="223"/>
      <c r="N152" s="223"/>
      <c r="O152" s="223"/>
      <c r="P152" s="132">
        <v>44284</v>
      </c>
      <c r="Q152" s="132">
        <v>44295</v>
      </c>
      <c r="R152" s="225"/>
      <c r="S152" s="226">
        <v>10</v>
      </c>
      <c r="T152" s="226">
        <v>0</v>
      </c>
      <c r="U152" s="226">
        <v>10</v>
      </c>
      <c r="V152" s="226">
        <v>0</v>
      </c>
      <c r="W152" s="224"/>
      <c r="X152" s="224"/>
      <c r="Y152" s="227"/>
      <c r="Z152" s="228">
        <v>0</v>
      </c>
      <c r="AA152" s="226"/>
      <c r="AB152" s="225"/>
      <c r="AC152" s="229"/>
      <c r="AD152" s="230">
        <v>0</v>
      </c>
      <c r="AE152" s="165">
        <v>0</v>
      </c>
      <c r="AF152" s="139"/>
      <c r="AG152" s="140"/>
      <c r="AH152" s="140"/>
      <c r="AI152" s="140"/>
      <c r="AJ152" s="140"/>
      <c r="AK152" s="140"/>
      <c r="AL152" s="140"/>
      <c r="AM152" s="140"/>
      <c r="AN152" s="140"/>
      <c r="AO152" s="140"/>
      <c r="AP152" s="140"/>
      <c r="AQ152" s="140"/>
      <c r="AR152" s="140" t="str">
        <f>" " &amp; TEXT(AE152,"#0.00%") &amp; " " &amp; "DIFS 2020 set 구성 1" &amp; " " &amp; IF(P152="","",TEXT(P152,"M/D-")) &amp; IF(Q152="","",TEXT(Q152,"M/D")) &amp; " "</f>
        <v xml:space="preserve"> 0.00% DIFS 2020 set 구성 1 3/29-4/9 </v>
      </c>
      <c r="AS152" s="140"/>
      <c r="AT152" s="140"/>
      <c r="AU152" s="140"/>
      <c r="AV152" s="140"/>
      <c r="AW152" s="140"/>
      <c r="AX152" s="140"/>
      <c r="AY152" s="140"/>
      <c r="AZ152" s="140"/>
      <c r="BA152" s="140"/>
      <c r="BB152" s="140"/>
      <c r="BC152" s="140"/>
      <c r="BD152" s="140"/>
      <c r="BE152" s="140"/>
      <c r="BF152" s="140"/>
      <c r="BG152" s="140"/>
      <c r="BH152" s="140"/>
      <c r="BI152" s="140"/>
      <c r="BJ152" s="140"/>
      <c r="BK152" s="140"/>
      <c r="BL152" s="140"/>
      <c r="BM152" s="140"/>
      <c r="BN152" s="140"/>
      <c r="BO152" s="140"/>
      <c r="BP152" s="140"/>
      <c r="BQ152" s="140"/>
      <c r="BR152" s="140"/>
      <c r="BS152" s="140"/>
      <c r="BT152" s="140"/>
      <c r="BU152" s="140"/>
      <c r="BV152" s="140"/>
      <c r="BW152" s="140"/>
      <c r="BX152" s="140"/>
      <c r="BY152" s="140"/>
      <c r="BZ152" s="140"/>
      <c r="CA152" s="140"/>
      <c r="CB152" s="140"/>
      <c r="CC152" s="140"/>
      <c r="CD152" s="140"/>
      <c r="CE152" s="140"/>
      <c r="CF152" s="140"/>
    </row>
    <row r="153" spans="1:84" ht="12" customHeight="1" outlineLevel="4">
      <c r="A153" s="129"/>
      <c r="B153" s="129"/>
      <c r="C153" s="129">
        <v>5</v>
      </c>
      <c r="D153" s="231" t="s">
        <v>1780</v>
      </c>
      <c r="E153" s="223"/>
      <c r="F153" s="223"/>
      <c r="G153" s="223"/>
      <c r="H153" s="223"/>
      <c r="I153" s="223" t="s">
        <v>1632</v>
      </c>
      <c r="J153" s="223"/>
      <c r="K153" s="223"/>
      <c r="L153" s="223"/>
      <c r="M153" s="223"/>
      <c r="N153" s="223"/>
      <c r="O153" s="223"/>
      <c r="P153" s="132">
        <v>44298</v>
      </c>
      <c r="Q153" s="132">
        <v>44309</v>
      </c>
      <c r="R153" s="225"/>
      <c r="S153" s="226">
        <v>10</v>
      </c>
      <c r="T153" s="226">
        <v>0</v>
      </c>
      <c r="U153" s="226">
        <v>10</v>
      </c>
      <c r="V153" s="226">
        <v>0</v>
      </c>
      <c r="W153" s="224"/>
      <c r="X153" s="224"/>
      <c r="Y153" s="227"/>
      <c r="Z153" s="228">
        <v>0</v>
      </c>
      <c r="AA153" s="226"/>
      <c r="AB153" s="225"/>
      <c r="AC153" s="229"/>
      <c r="AD153" s="230">
        <v>0</v>
      </c>
      <c r="AE153" s="165">
        <v>0</v>
      </c>
      <c r="AF153" s="139"/>
      <c r="AG153" s="140"/>
      <c r="AH153" s="140"/>
      <c r="AI153" s="140"/>
      <c r="AJ153" s="140"/>
      <c r="AK153" s="140"/>
      <c r="AL153" s="140"/>
      <c r="AM153" s="140"/>
      <c r="AN153" s="140"/>
      <c r="AO153" s="140"/>
      <c r="AP153" s="140"/>
      <c r="AQ153" s="140"/>
      <c r="AR153" s="140"/>
      <c r="AS153" s="140"/>
      <c r="AT153" s="140" t="str">
        <f>" " &amp; TEXT(AE153,"#0.00%") &amp; " " &amp; "DIFS 2020 set 구성 2" &amp; " " &amp; IF(P153="","",TEXT(P153,"M/D-")) &amp; IF(Q153="","",TEXT(Q153,"M/D")) &amp; " "</f>
        <v xml:space="preserve"> 0.00% DIFS 2020 set 구성 2 4/12-4/23 </v>
      </c>
      <c r="AU153" s="140"/>
      <c r="AV153" s="140"/>
      <c r="AW153" s="140"/>
      <c r="AX153" s="140"/>
      <c r="AY153" s="140"/>
      <c r="AZ153" s="140"/>
      <c r="BA153" s="140"/>
      <c r="BB153" s="140"/>
      <c r="BC153" s="140"/>
      <c r="BD153" s="140"/>
      <c r="BE153" s="140"/>
      <c r="BF153" s="140"/>
      <c r="BG153" s="140"/>
      <c r="BH153" s="140"/>
      <c r="BI153" s="140"/>
      <c r="BJ153" s="140"/>
      <c r="BK153" s="140"/>
      <c r="BL153" s="140"/>
      <c r="BM153" s="140"/>
      <c r="BN153" s="140"/>
      <c r="BO153" s="140"/>
      <c r="BP153" s="140"/>
      <c r="BQ153" s="140"/>
      <c r="BR153" s="140"/>
      <c r="BS153" s="140"/>
      <c r="BT153" s="140"/>
      <c r="BU153" s="140"/>
      <c r="BV153" s="140"/>
      <c r="BW153" s="140"/>
      <c r="BX153" s="140"/>
      <c r="BY153" s="140"/>
      <c r="BZ153" s="140"/>
      <c r="CA153" s="140"/>
      <c r="CB153" s="140"/>
      <c r="CC153" s="140"/>
      <c r="CD153" s="140"/>
      <c r="CE153" s="140"/>
      <c r="CF153" s="140"/>
    </row>
    <row r="154" spans="1:84" ht="12" customHeight="1" outlineLevel="3">
      <c r="A154" s="129"/>
      <c r="B154" s="129" t="s">
        <v>1345</v>
      </c>
      <c r="C154" s="129">
        <v>4</v>
      </c>
      <c r="D154" s="206" t="s">
        <v>1505</v>
      </c>
      <c r="E154" s="207"/>
      <c r="F154" s="207"/>
      <c r="G154" s="207"/>
      <c r="H154" s="207" t="s">
        <v>1470</v>
      </c>
      <c r="I154" s="207"/>
      <c r="J154" s="207"/>
      <c r="K154" s="207"/>
      <c r="L154" s="207"/>
      <c r="M154" s="207"/>
      <c r="N154" s="207"/>
      <c r="O154" s="207"/>
      <c r="P154" s="217">
        <v>44312</v>
      </c>
      <c r="Q154" s="217">
        <v>44337</v>
      </c>
      <c r="R154" s="216"/>
      <c r="S154" s="218">
        <v>18</v>
      </c>
      <c r="T154" s="218">
        <v>0</v>
      </c>
      <c r="U154" s="218">
        <v>18</v>
      </c>
      <c r="V154" s="218">
        <v>0</v>
      </c>
      <c r="W154" s="217"/>
      <c r="X154" s="217"/>
      <c r="Y154" s="219">
        <v>0</v>
      </c>
      <c r="Z154" s="220">
        <v>0</v>
      </c>
      <c r="AA154" s="218"/>
      <c r="AB154" s="216" t="s">
        <v>1410</v>
      </c>
      <c r="AC154" s="221"/>
      <c r="AD154" s="222">
        <v>0</v>
      </c>
      <c r="AE154" s="192">
        <v>0</v>
      </c>
      <c r="AF154" s="139"/>
      <c r="AG154" s="140"/>
      <c r="AH154" s="140"/>
      <c r="AI154" s="140"/>
      <c r="AJ154" s="140"/>
      <c r="AK154" s="140"/>
      <c r="AL154" s="140"/>
      <c r="AM154" s="140"/>
      <c r="AN154" s="140"/>
      <c r="AO154" s="140"/>
      <c r="AP154" s="140"/>
      <c r="AQ154" s="140"/>
      <c r="AR154" s="140"/>
      <c r="AS154" s="140"/>
      <c r="AT154" s="140"/>
      <c r="AU154" s="140"/>
      <c r="AV154" s="140" t="str">
        <f>" " &amp; TEXT(AE154,"#0.00%") &amp; " "</f>
        <v xml:space="preserve"> 0.00% </v>
      </c>
      <c r="AW154" s="140"/>
      <c r="AX154" s="140"/>
      <c r="AY154" s="140" t="str">
        <f>"      " &amp; "적용" &amp; "(신용윤)" &amp; " " &amp; IF(P154="","",TEXT(P154,"M/D-")) &amp; IF(Q154="","",TEXT(Q154,"M/D")) &amp; " "</f>
        <v xml:space="preserve">      적용(신용윤) 4/26-5/21 </v>
      </c>
      <c r="AZ154" s="140"/>
      <c r="BA154" s="140"/>
      <c r="BB154" s="140"/>
      <c r="BC154" s="140"/>
      <c r="BD154" s="140"/>
      <c r="BE154" s="140"/>
      <c r="BF154" s="140"/>
      <c r="BG154" s="140"/>
      <c r="BH154" s="140"/>
      <c r="BI154" s="140"/>
      <c r="BJ154" s="140"/>
      <c r="BK154" s="140"/>
      <c r="BL154" s="140"/>
      <c r="BM154" s="140"/>
      <c r="BN154" s="140"/>
      <c r="BO154" s="140"/>
      <c r="BP154" s="140"/>
      <c r="BQ154" s="140"/>
      <c r="BR154" s="140"/>
      <c r="BS154" s="140"/>
      <c r="BT154" s="140"/>
      <c r="BU154" s="140"/>
      <c r="BV154" s="140"/>
      <c r="BW154" s="140"/>
      <c r="BX154" s="140"/>
      <c r="BY154" s="140"/>
      <c r="BZ154" s="140"/>
      <c r="CA154" s="140"/>
      <c r="CB154" s="140"/>
      <c r="CC154" s="140"/>
      <c r="CD154" s="140"/>
      <c r="CE154" s="140"/>
      <c r="CF154" s="140"/>
    </row>
    <row r="155" spans="1:84" ht="12" customHeight="1" outlineLevel="4">
      <c r="A155" s="129"/>
      <c r="B155" s="129"/>
      <c r="C155" s="129">
        <v>5</v>
      </c>
      <c r="D155" s="231" t="s">
        <v>1781</v>
      </c>
      <c r="E155" s="223"/>
      <c r="F155" s="223"/>
      <c r="G155" s="223"/>
      <c r="H155" s="223"/>
      <c r="I155" s="223" t="s">
        <v>1631</v>
      </c>
      <c r="J155" s="223"/>
      <c r="K155" s="223"/>
      <c r="L155" s="223"/>
      <c r="M155" s="223"/>
      <c r="N155" s="223"/>
      <c r="O155" s="223"/>
      <c r="P155" s="132">
        <v>44312</v>
      </c>
      <c r="Q155" s="132">
        <v>44323</v>
      </c>
      <c r="R155" s="225"/>
      <c r="S155" s="226">
        <v>9</v>
      </c>
      <c r="T155" s="226">
        <v>0</v>
      </c>
      <c r="U155" s="226">
        <v>9</v>
      </c>
      <c r="V155" s="226">
        <v>0</v>
      </c>
      <c r="W155" s="224"/>
      <c r="X155" s="224"/>
      <c r="Y155" s="227"/>
      <c r="Z155" s="228">
        <v>0</v>
      </c>
      <c r="AA155" s="226"/>
      <c r="AB155" s="225"/>
      <c r="AC155" s="229"/>
      <c r="AD155" s="230">
        <v>0</v>
      </c>
      <c r="AE155" s="165">
        <v>0</v>
      </c>
      <c r="AF155" s="139"/>
      <c r="AG155" s="140"/>
      <c r="AH155" s="140"/>
      <c r="AI155" s="140"/>
      <c r="AJ155" s="140"/>
      <c r="AK155" s="140"/>
      <c r="AL155" s="140"/>
      <c r="AM155" s="140"/>
      <c r="AN155" s="140"/>
      <c r="AO155" s="140"/>
      <c r="AP155" s="140"/>
      <c r="AQ155" s="140"/>
      <c r="AR155" s="140"/>
      <c r="AS155" s="140"/>
      <c r="AT155" s="140"/>
      <c r="AU155" s="140"/>
      <c r="AV155" s="140" t="str">
        <f>" " &amp; TEXT(AE155,"#0.00%") &amp; " " &amp; "DIFS 2020 적용 1" &amp; " " &amp; IF(P155="","",TEXT(P155,"M/D-")) &amp; IF(Q155="","",TEXT(Q155,"M/D")) &amp; " "</f>
        <v xml:space="preserve"> 0.00% DIFS 2020 적용 1 4/26-5/7 </v>
      </c>
      <c r="AW155" s="140"/>
      <c r="AX155" s="140"/>
      <c r="AY155" s="140"/>
      <c r="AZ155" s="140"/>
      <c r="BA155" s="140"/>
      <c r="BB155" s="140"/>
      <c r="BC155" s="140"/>
      <c r="BD155" s="140"/>
      <c r="BE155" s="140"/>
      <c r="BF155" s="140"/>
      <c r="BG155" s="140"/>
      <c r="BH155" s="140"/>
      <c r="BI155" s="140"/>
      <c r="BJ155" s="140"/>
      <c r="BK155" s="140"/>
      <c r="BL155" s="140"/>
      <c r="BM155" s="140"/>
      <c r="BN155" s="140"/>
      <c r="BO155" s="140"/>
      <c r="BP155" s="140"/>
      <c r="BQ155" s="140"/>
      <c r="BR155" s="140"/>
      <c r="BS155" s="140"/>
      <c r="BT155" s="140"/>
      <c r="BU155" s="140"/>
      <c r="BV155" s="140"/>
      <c r="BW155" s="140"/>
      <c r="BX155" s="140"/>
      <c r="BY155" s="140"/>
      <c r="BZ155" s="140"/>
      <c r="CA155" s="140"/>
      <c r="CB155" s="140"/>
      <c r="CC155" s="140"/>
      <c r="CD155" s="140"/>
      <c r="CE155" s="140"/>
      <c r="CF155" s="140"/>
    </row>
    <row r="156" spans="1:84" ht="12" customHeight="1" outlineLevel="4">
      <c r="A156" s="129"/>
      <c r="B156" s="129"/>
      <c r="C156" s="129">
        <v>5</v>
      </c>
      <c r="D156" s="231" t="s">
        <v>1782</v>
      </c>
      <c r="E156" s="223"/>
      <c r="F156" s="223"/>
      <c r="G156" s="223"/>
      <c r="H156" s="223"/>
      <c r="I156" s="223" t="s">
        <v>1633</v>
      </c>
      <c r="J156" s="223"/>
      <c r="K156" s="223"/>
      <c r="L156" s="223"/>
      <c r="M156" s="223"/>
      <c r="N156" s="223"/>
      <c r="O156" s="223"/>
      <c r="P156" s="132">
        <v>44326</v>
      </c>
      <c r="Q156" s="132">
        <v>44337</v>
      </c>
      <c r="R156" s="225"/>
      <c r="S156" s="226">
        <v>9</v>
      </c>
      <c r="T156" s="226">
        <v>0</v>
      </c>
      <c r="U156" s="226">
        <v>9</v>
      </c>
      <c r="V156" s="226">
        <v>0</v>
      </c>
      <c r="W156" s="224"/>
      <c r="X156" s="224"/>
      <c r="Y156" s="227"/>
      <c r="Z156" s="228">
        <v>0</v>
      </c>
      <c r="AA156" s="226"/>
      <c r="AB156" s="225"/>
      <c r="AC156" s="229"/>
      <c r="AD156" s="230">
        <v>0</v>
      </c>
      <c r="AE156" s="165">
        <v>0</v>
      </c>
      <c r="AF156" s="139"/>
      <c r="AG156" s="140"/>
      <c r="AH156" s="140"/>
      <c r="AI156" s="140"/>
      <c r="AJ156" s="140"/>
      <c r="AK156" s="140"/>
      <c r="AL156" s="140"/>
      <c r="AM156" s="140"/>
      <c r="AN156" s="140"/>
      <c r="AO156" s="140"/>
      <c r="AP156" s="140"/>
      <c r="AQ156" s="140"/>
      <c r="AR156" s="140"/>
      <c r="AS156" s="140"/>
      <c r="AT156" s="140"/>
      <c r="AU156" s="140"/>
      <c r="AV156" s="140"/>
      <c r="AW156" s="140"/>
      <c r="AX156" s="140" t="str">
        <f>" " &amp; TEXT(AE156,"#0.00%") &amp; " " &amp; "DIFS 2020 적용 2" &amp; " " &amp; IF(P156="","",TEXT(P156,"M/D-")) &amp; IF(Q156="","",TEXT(Q156,"M/D")) &amp; " "</f>
        <v xml:space="preserve"> 0.00% DIFS 2020 적용 2 5/10-5/21 </v>
      </c>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c r="BS156" s="140"/>
      <c r="BT156" s="140"/>
      <c r="BU156" s="140"/>
      <c r="BV156" s="140"/>
      <c r="BW156" s="140"/>
      <c r="BX156" s="140"/>
      <c r="BY156" s="140"/>
      <c r="BZ156" s="140"/>
      <c r="CA156" s="140"/>
      <c r="CB156" s="140"/>
      <c r="CC156" s="140"/>
      <c r="CD156" s="140"/>
      <c r="CE156" s="140"/>
      <c r="CF156" s="140"/>
    </row>
    <row r="157" spans="1:84" ht="12" customHeight="1" outlineLevel="2">
      <c r="A157" s="129"/>
      <c r="B157" s="129" t="s">
        <v>1345</v>
      </c>
      <c r="C157" s="129">
        <v>3</v>
      </c>
      <c r="D157" s="206" t="s">
        <v>1074</v>
      </c>
      <c r="E157" s="207"/>
      <c r="F157" s="207"/>
      <c r="G157" s="207" t="s">
        <v>1472</v>
      </c>
      <c r="H157" s="207"/>
      <c r="I157" s="207"/>
      <c r="J157" s="207"/>
      <c r="K157" s="207"/>
      <c r="L157" s="207"/>
      <c r="M157" s="207"/>
      <c r="N157" s="207"/>
      <c r="O157" s="207"/>
      <c r="P157" s="217">
        <v>44508</v>
      </c>
      <c r="Q157" s="217">
        <v>44561</v>
      </c>
      <c r="R157" s="216"/>
      <c r="S157" s="218">
        <v>40</v>
      </c>
      <c r="T157" s="218">
        <v>0</v>
      </c>
      <c r="U157" s="218">
        <v>40</v>
      </c>
      <c r="V157" s="218">
        <v>0</v>
      </c>
      <c r="W157" s="217"/>
      <c r="X157" s="217"/>
      <c r="Y157" s="219">
        <v>0</v>
      </c>
      <c r="Z157" s="220">
        <v>0</v>
      </c>
      <c r="AA157" s="218"/>
      <c r="AB157" s="216" t="s">
        <v>1391</v>
      </c>
      <c r="AC157" s="221"/>
      <c r="AD157" s="222">
        <v>0</v>
      </c>
      <c r="AE157" s="192">
        <v>0</v>
      </c>
      <c r="AF157" s="139"/>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c r="BH157" s="140"/>
      <c r="BI157" s="140"/>
      <c r="BJ157" s="140"/>
      <c r="BK157" s="140"/>
      <c r="BL157" s="140"/>
      <c r="BM157" s="140"/>
      <c r="BN157" s="140"/>
      <c r="BO157" s="140"/>
      <c r="BP157" s="140"/>
      <c r="BQ157" s="140"/>
      <c r="BR157" s="140"/>
      <c r="BS157" s="140"/>
      <c r="BT157" s="140"/>
      <c r="BU157" s="140"/>
      <c r="BV157" s="140"/>
      <c r="BW157" s="140"/>
      <c r="BX157" s="140" t="str">
        <f>" " &amp; TEXT(AE157,"#0.00%") &amp; " "</f>
        <v xml:space="preserve"> 0.00% </v>
      </c>
      <c r="BY157" s="140"/>
      <c r="BZ157" s="140"/>
      <c r="CA157" s="140"/>
      <c r="CB157" s="140"/>
      <c r="CC157" s="140"/>
      <c r="CD157" s="140"/>
      <c r="CE157" s="140" t="str">
        <f>"      " &amp; "DIFS 2021" &amp; "(신용윤,박세형)" &amp; " " &amp; IF(P157="","",TEXT(P157,"M/D-")) &amp; IF(Q157="","",TEXT(Q157,"M/D")) &amp; " "</f>
        <v xml:space="preserve">      DIFS 2021(신용윤,박세형) 11/8-12/31 </v>
      </c>
      <c r="CF157" s="140"/>
    </row>
    <row r="158" spans="1:84" ht="12" customHeight="1" outlineLevel="3">
      <c r="A158" s="129"/>
      <c r="B158" s="129" t="s">
        <v>1345</v>
      </c>
      <c r="C158" s="129">
        <v>4</v>
      </c>
      <c r="D158" s="206" t="s">
        <v>1433</v>
      </c>
      <c r="E158" s="207"/>
      <c r="F158" s="207"/>
      <c r="G158" s="207"/>
      <c r="H158" s="207" t="s">
        <v>1469</v>
      </c>
      <c r="I158" s="207"/>
      <c r="J158" s="207"/>
      <c r="K158" s="207"/>
      <c r="L158" s="207"/>
      <c r="M158" s="207"/>
      <c r="N158" s="207"/>
      <c r="O158" s="207"/>
      <c r="P158" s="217">
        <v>44508</v>
      </c>
      <c r="Q158" s="217">
        <v>44533</v>
      </c>
      <c r="R158" s="216"/>
      <c r="S158" s="218">
        <v>20</v>
      </c>
      <c r="T158" s="218">
        <v>0</v>
      </c>
      <c r="U158" s="218">
        <v>20</v>
      </c>
      <c r="V158" s="218">
        <v>0</v>
      </c>
      <c r="W158" s="217"/>
      <c r="X158" s="217"/>
      <c r="Y158" s="219">
        <v>0</v>
      </c>
      <c r="Z158" s="220">
        <v>0</v>
      </c>
      <c r="AA158" s="218"/>
      <c r="AB158" s="216" t="s">
        <v>1410</v>
      </c>
      <c r="AC158" s="221"/>
      <c r="AD158" s="222">
        <v>0</v>
      </c>
      <c r="AE158" s="192">
        <v>0</v>
      </c>
      <c r="AF158" s="139"/>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c r="BH158" s="140"/>
      <c r="BI158" s="140"/>
      <c r="BJ158" s="140"/>
      <c r="BK158" s="140"/>
      <c r="BL158" s="140"/>
      <c r="BM158" s="140"/>
      <c r="BN158" s="140"/>
      <c r="BO158" s="140"/>
      <c r="BP158" s="140"/>
      <c r="BQ158" s="140"/>
      <c r="BR158" s="140"/>
      <c r="BS158" s="140"/>
      <c r="BT158" s="140"/>
      <c r="BU158" s="140"/>
      <c r="BV158" s="140"/>
      <c r="BW158" s="140"/>
      <c r="BX158" s="140" t="str">
        <f>" " &amp; TEXT(AE158,"#0.00%") &amp; " "</f>
        <v xml:space="preserve"> 0.00% </v>
      </c>
      <c r="BY158" s="140"/>
      <c r="BZ158" s="140"/>
      <c r="CA158" s="140" t="str">
        <f>"      " &amp; "노드 구성" &amp; "(신용윤)" &amp; " " &amp; IF(P158="","",TEXT(P158,"M/D-")) &amp; IF(Q158="","",TEXT(Q158,"M/D")) &amp; " "</f>
        <v xml:space="preserve">      노드 구성(신용윤) 11/8-12/3 </v>
      </c>
      <c r="CB158" s="140"/>
      <c r="CC158" s="140"/>
      <c r="CD158" s="140"/>
      <c r="CE158" s="140"/>
      <c r="CF158" s="140"/>
    </row>
    <row r="159" spans="1:84" ht="12" customHeight="1" outlineLevel="4">
      <c r="A159" s="129"/>
      <c r="B159" s="129"/>
      <c r="C159" s="129">
        <v>5</v>
      </c>
      <c r="D159" s="231" t="s">
        <v>1783</v>
      </c>
      <c r="E159" s="223"/>
      <c r="F159" s="223"/>
      <c r="G159" s="223"/>
      <c r="H159" s="223"/>
      <c r="I159" s="223" t="s">
        <v>1634</v>
      </c>
      <c r="J159" s="223"/>
      <c r="K159" s="223"/>
      <c r="L159" s="223"/>
      <c r="M159" s="223"/>
      <c r="N159" s="223"/>
      <c r="O159" s="223"/>
      <c r="P159" s="224">
        <v>44508</v>
      </c>
      <c r="Q159" s="224">
        <v>44519</v>
      </c>
      <c r="R159" s="225"/>
      <c r="S159" s="226">
        <v>10</v>
      </c>
      <c r="T159" s="226">
        <v>0</v>
      </c>
      <c r="U159" s="226">
        <v>10</v>
      </c>
      <c r="V159" s="226">
        <v>0</v>
      </c>
      <c r="W159" s="224"/>
      <c r="X159" s="224"/>
      <c r="Y159" s="227"/>
      <c r="Z159" s="228">
        <v>0</v>
      </c>
      <c r="AA159" s="226"/>
      <c r="AB159" s="225"/>
      <c r="AC159" s="229"/>
      <c r="AD159" s="230">
        <v>0</v>
      </c>
      <c r="AE159" s="165">
        <v>0</v>
      </c>
      <c r="AF159" s="139"/>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c r="BH159" s="140"/>
      <c r="BI159" s="140"/>
      <c r="BJ159" s="140"/>
      <c r="BK159" s="140"/>
      <c r="BL159" s="140"/>
      <c r="BM159" s="140"/>
      <c r="BN159" s="140"/>
      <c r="BO159" s="140"/>
      <c r="BP159" s="140"/>
      <c r="BQ159" s="140"/>
      <c r="BR159" s="140"/>
      <c r="BS159" s="140"/>
      <c r="BT159" s="140"/>
      <c r="BU159" s="140"/>
      <c r="BV159" s="140"/>
      <c r="BW159" s="140"/>
      <c r="BX159" s="140" t="str">
        <f>" " &amp; TEXT(AE159,"#0.00%") &amp; " " &amp; "DIFS 2021 set 구성 1" &amp; " " &amp; IF(P159="","",TEXT(P159,"M/D-")) &amp; IF(Q159="","",TEXT(Q159,"M/D")) &amp; " "</f>
        <v xml:space="preserve"> 0.00% DIFS 2021 set 구성 1 11/8-11/19 </v>
      </c>
      <c r="BY159" s="140"/>
      <c r="BZ159" s="140"/>
      <c r="CA159" s="140"/>
      <c r="CB159" s="140"/>
      <c r="CC159" s="140"/>
      <c r="CD159" s="140"/>
      <c r="CE159" s="140"/>
      <c r="CF159" s="140"/>
    </row>
    <row r="160" spans="1:84" ht="12" customHeight="1" outlineLevel="4">
      <c r="A160" s="129"/>
      <c r="B160" s="129"/>
      <c r="C160" s="129">
        <v>5</v>
      </c>
      <c r="D160" s="231" t="s">
        <v>1784</v>
      </c>
      <c r="E160" s="223"/>
      <c r="F160" s="223"/>
      <c r="G160" s="223"/>
      <c r="H160" s="223"/>
      <c r="I160" s="223" t="s">
        <v>1635</v>
      </c>
      <c r="J160" s="223"/>
      <c r="K160" s="223"/>
      <c r="L160" s="223"/>
      <c r="M160" s="223"/>
      <c r="N160" s="223"/>
      <c r="O160" s="223"/>
      <c r="P160" s="224">
        <v>44522</v>
      </c>
      <c r="Q160" s="224">
        <v>44533</v>
      </c>
      <c r="R160" s="225"/>
      <c r="S160" s="226">
        <v>10</v>
      </c>
      <c r="T160" s="226">
        <v>0</v>
      </c>
      <c r="U160" s="226">
        <v>10</v>
      </c>
      <c r="V160" s="226">
        <v>0</v>
      </c>
      <c r="W160" s="224"/>
      <c r="X160" s="224"/>
      <c r="Y160" s="227"/>
      <c r="Z160" s="228">
        <v>0</v>
      </c>
      <c r="AA160" s="226"/>
      <c r="AB160" s="225"/>
      <c r="AC160" s="229"/>
      <c r="AD160" s="230">
        <v>0</v>
      </c>
      <c r="AE160" s="165">
        <v>0</v>
      </c>
      <c r="AF160" s="139"/>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c r="BH160" s="140"/>
      <c r="BI160" s="140"/>
      <c r="BJ160" s="140"/>
      <c r="BK160" s="140"/>
      <c r="BL160" s="140"/>
      <c r="BM160" s="140"/>
      <c r="BN160" s="140"/>
      <c r="BO160" s="140"/>
      <c r="BP160" s="140"/>
      <c r="BQ160" s="140"/>
      <c r="BR160" s="140"/>
      <c r="BS160" s="140"/>
      <c r="BT160" s="140"/>
      <c r="BU160" s="140"/>
      <c r="BV160" s="140"/>
      <c r="BW160" s="140"/>
      <c r="BX160" s="140"/>
      <c r="BY160" s="140"/>
      <c r="BZ160" s="140" t="str">
        <f>" " &amp; TEXT(AE160,"#0.00%") &amp; " " &amp; "DIFS 2021 set 구성 2" &amp; " " &amp; IF(P160="","",TEXT(P160,"M/D-")) &amp; IF(Q160="","",TEXT(Q160,"M/D")) &amp; " "</f>
        <v xml:space="preserve"> 0.00% DIFS 2021 set 구성 2 11/22-12/3 </v>
      </c>
      <c r="CA160" s="140"/>
      <c r="CB160" s="140"/>
      <c r="CC160" s="140"/>
      <c r="CD160" s="140"/>
      <c r="CE160" s="140"/>
      <c r="CF160" s="140"/>
    </row>
    <row r="161" spans="1:84" ht="12" customHeight="1" outlineLevel="3">
      <c r="A161" s="129"/>
      <c r="B161" s="129" t="s">
        <v>1345</v>
      </c>
      <c r="C161" s="129">
        <v>4</v>
      </c>
      <c r="D161" s="206" t="s">
        <v>1499</v>
      </c>
      <c r="E161" s="207"/>
      <c r="F161" s="207"/>
      <c r="G161" s="207"/>
      <c r="H161" s="207" t="s">
        <v>1470</v>
      </c>
      <c r="I161" s="207"/>
      <c r="J161" s="207"/>
      <c r="K161" s="207"/>
      <c r="L161" s="207"/>
      <c r="M161" s="207"/>
      <c r="N161" s="207"/>
      <c r="O161" s="207"/>
      <c r="P161" s="217">
        <v>44536</v>
      </c>
      <c r="Q161" s="217">
        <v>44561</v>
      </c>
      <c r="R161" s="216"/>
      <c r="S161" s="218">
        <v>20</v>
      </c>
      <c r="T161" s="218">
        <v>0</v>
      </c>
      <c r="U161" s="218">
        <v>20</v>
      </c>
      <c r="V161" s="218">
        <v>0</v>
      </c>
      <c r="W161" s="217"/>
      <c r="X161" s="217"/>
      <c r="Y161" s="219">
        <v>0</v>
      </c>
      <c r="Z161" s="220">
        <v>0</v>
      </c>
      <c r="AA161" s="218"/>
      <c r="AB161" s="216" t="s">
        <v>1391</v>
      </c>
      <c r="AC161" s="221"/>
      <c r="AD161" s="222">
        <v>0</v>
      </c>
      <c r="AE161" s="192">
        <v>0</v>
      </c>
      <c r="AF161" s="139"/>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c r="BH161" s="140"/>
      <c r="BI161" s="140"/>
      <c r="BJ161" s="140"/>
      <c r="BK161" s="140"/>
      <c r="BL161" s="140"/>
      <c r="BM161" s="140"/>
      <c r="BN161" s="140"/>
      <c r="BO161" s="140"/>
      <c r="BP161" s="140"/>
      <c r="BQ161" s="140"/>
      <c r="BR161" s="140"/>
      <c r="BS161" s="140"/>
      <c r="BT161" s="140"/>
      <c r="BU161" s="140"/>
      <c r="BV161" s="140"/>
      <c r="BW161" s="140"/>
      <c r="BX161" s="140"/>
      <c r="BY161" s="140"/>
      <c r="BZ161" s="140"/>
      <c r="CA161" s="140"/>
      <c r="CB161" s="140" t="str">
        <f>" " &amp; TEXT(AE161,"#0.00%") &amp; " "</f>
        <v xml:space="preserve"> 0.00% </v>
      </c>
      <c r="CC161" s="140"/>
      <c r="CD161" s="140"/>
      <c r="CE161" s="140" t="str">
        <f>"      " &amp; "적용" &amp; "(신용윤,박세형)" &amp; " " &amp; IF(P161="","",TEXT(P161,"M/D-")) &amp; IF(Q161="","",TEXT(Q161,"M/D")) &amp; " "</f>
        <v xml:space="preserve">      적용(신용윤,박세형) 12/6-12/31 </v>
      </c>
      <c r="CF161" s="140"/>
    </row>
    <row r="162" spans="1:84" ht="12" customHeight="1" outlineLevel="4">
      <c r="A162" s="129"/>
      <c r="B162" s="129"/>
      <c r="C162" s="129">
        <v>5</v>
      </c>
      <c r="D162" s="231" t="s">
        <v>1785</v>
      </c>
      <c r="E162" s="223"/>
      <c r="F162" s="223"/>
      <c r="G162" s="223"/>
      <c r="H162" s="223"/>
      <c r="I162" s="223" t="s">
        <v>1636</v>
      </c>
      <c r="J162" s="223"/>
      <c r="K162" s="223"/>
      <c r="L162" s="223"/>
      <c r="M162" s="223"/>
      <c r="N162" s="223"/>
      <c r="O162" s="223"/>
      <c r="P162" s="224">
        <v>44536</v>
      </c>
      <c r="Q162" s="224">
        <v>44547</v>
      </c>
      <c r="R162" s="225"/>
      <c r="S162" s="226">
        <v>10</v>
      </c>
      <c r="T162" s="226">
        <v>0</v>
      </c>
      <c r="U162" s="226">
        <v>10</v>
      </c>
      <c r="V162" s="226">
        <v>0</v>
      </c>
      <c r="W162" s="224"/>
      <c r="X162" s="224"/>
      <c r="Y162" s="227"/>
      <c r="Z162" s="228">
        <v>0</v>
      </c>
      <c r="AA162" s="226"/>
      <c r="AB162" s="225" t="s">
        <v>1410</v>
      </c>
      <c r="AC162" s="229"/>
      <c r="AD162" s="230">
        <v>0</v>
      </c>
      <c r="AE162" s="165">
        <v>0</v>
      </c>
      <c r="AF162" s="139"/>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c r="BH162" s="140"/>
      <c r="BI162" s="140"/>
      <c r="BJ162" s="140"/>
      <c r="BK162" s="140"/>
      <c r="BL162" s="140"/>
      <c r="BM162" s="140"/>
      <c r="BN162" s="140"/>
      <c r="BO162" s="140"/>
      <c r="BP162" s="140"/>
      <c r="BQ162" s="140"/>
      <c r="BR162" s="140"/>
      <c r="BS162" s="140"/>
      <c r="BT162" s="140"/>
      <c r="BU162" s="140"/>
      <c r="BV162" s="140"/>
      <c r="BW162" s="140"/>
      <c r="BX162" s="140"/>
      <c r="BY162" s="140"/>
      <c r="BZ162" s="140"/>
      <c r="CA162" s="140"/>
      <c r="CB162" s="140" t="str">
        <f>" " &amp; TEXT(AE162,"#0.00%") &amp; " " &amp; "DIFS 2021 적용 1" &amp; "(신용윤)" &amp; " " &amp; IF(P162="","",TEXT(P162,"M/D-")) &amp; IF(Q162="","",TEXT(Q162,"M/D")) &amp; " "</f>
        <v xml:space="preserve"> 0.00% DIFS 2021 적용 1(신용윤) 12/6-12/17 </v>
      </c>
      <c r="CC162" s="140"/>
      <c r="CD162" s="140"/>
      <c r="CE162" s="140"/>
      <c r="CF162" s="140"/>
    </row>
    <row r="163" spans="1:84" ht="12" customHeight="1" outlineLevel="4">
      <c r="A163" s="129"/>
      <c r="B163" s="129"/>
      <c r="C163" s="129">
        <v>5</v>
      </c>
      <c r="D163" s="231" t="s">
        <v>1786</v>
      </c>
      <c r="E163" s="223"/>
      <c r="F163" s="223"/>
      <c r="G163" s="223"/>
      <c r="H163" s="223"/>
      <c r="I163" s="223" t="s">
        <v>1637</v>
      </c>
      <c r="J163" s="223"/>
      <c r="K163" s="223"/>
      <c r="L163" s="223"/>
      <c r="M163" s="223"/>
      <c r="N163" s="223"/>
      <c r="O163" s="223"/>
      <c r="P163" s="224">
        <v>44550</v>
      </c>
      <c r="Q163" s="224">
        <v>44561</v>
      </c>
      <c r="R163" s="225"/>
      <c r="S163" s="226">
        <v>10</v>
      </c>
      <c r="T163" s="226">
        <v>0</v>
      </c>
      <c r="U163" s="226">
        <v>10</v>
      </c>
      <c r="V163" s="226">
        <v>0</v>
      </c>
      <c r="W163" s="224"/>
      <c r="X163" s="224"/>
      <c r="Y163" s="227"/>
      <c r="Z163" s="228">
        <v>0</v>
      </c>
      <c r="AA163" s="226"/>
      <c r="AB163" s="225" t="s">
        <v>1405</v>
      </c>
      <c r="AC163" s="229"/>
      <c r="AD163" s="230">
        <v>0</v>
      </c>
      <c r="AE163" s="165">
        <v>0</v>
      </c>
      <c r="AF163" s="139"/>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c r="BH163" s="140"/>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t="str">
        <f>" " &amp; TEXT(AE163,"#0.00%") &amp; " " &amp; "DIFS 2021 적용 2" &amp; "(박세형)" &amp; " " &amp; IF(P163="","",TEXT(P163,"M/D-")) &amp; IF(Q163="","",TEXT(Q163,"M/D")) &amp; " "</f>
        <v xml:space="preserve"> 0.00% DIFS 2021 적용 2(박세형) 12/20-12/31 </v>
      </c>
      <c r="CE163" s="140"/>
      <c r="CF163" s="140"/>
    </row>
    <row r="164" spans="1:84" ht="12" customHeight="1" outlineLevel="1">
      <c r="A164" s="129"/>
      <c r="B164" s="129" t="s">
        <v>1345</v>
      </c>
      <c r="C164" s="129">
        <v>2</v>
      </c>
      <c r="D164" s="130" t="s">
        <v>1494</v>
      </c>
      <c r="E164" s="131"/>
      <c r="F164" s="131" t="s">
        <v>1411</v>
      </c>
      <c r="G164" s="131"/>
      <c r="H164" s="131"/>
      <c r="I164" s="131"/>
      <c r="J164" s="131"/>
      <c r="K164" s="131"/>
      <c r="L164" s="131"/>
      <c r="M164" s="131"/>
      <c r="N164" s="131"/>
      <c r="O164" s="131"/>
      <c r="P164" s="132">
        <v>44256</v>
      </c>
      <c r="Q164" s="132">
        <v>44463</v>
      </c>
      <c r="R164" s="133"/>
      <c r="S164" s="134">
        <v>156</v>
      </c>
      <c r="T164" s="134">
        <v>0</v>
      </c>
      <c r="U164" s="134">
        <v>144</v>
      </c>
      <c r="V164" s="134">
        <v>0</v>
      </c>
      <c r="W164" s="132"/>
      <c r="X164" s="132"/>
      <c r="Y164" s="135">
        <v>0</v>
      </c>
      <c r="Z164" s="136">
        <v>0</v>
      </c>
      <c r="AA164" s="134"/>
      <c r="AB164" s="133" t="s">
        <v>1391</v>
      </c>
      <c r="AC164" s="137"/>
      <c r="AD164" s="138">
        <v>0</v>
      </c>
      <c r="AE164" s="192">
        <v>0</v>
      </c>
      <c r="AF164" s="139"/>
      <c r="AG164" s="140"/>
      <c r="AH164" s="140"/>
      <c r="AI164" s="140"/>
      <c r="AJ164" s="140"/>
      <c r="AK164" s="140"/>
      <c r="AL164" s="140"/>
      <c r="AM164" s="140"/>
      <c r="AN164" s="140" t="str">
        <f>" " &amp; TEXT(AE164,"#0.00%") &amp; " "</f>
        <v xml:space="preserve"> 0.00% </v>
      </c>
      <c r="AO164" s="140"/>
      <c r="AP164" s="140"/>
      <c r="AQ164" s="140"/>
      <c r="AR164" s="140"/>
      <c r="AS164" s="140"/>
      <c r="AT164" s="140"/>
      <c r="AU164" s="140"/>
      <c r="AV164" s="140"/>
      <c r="AW164" s="140"/>
      <c r="AX164" s="140"/>
      <c r="AY164" s="140"/>
      <c r="AZ164" s="140"/>
      <c r="BA164" s="140"/>
      <c r="BB164" s="140"/>
      <c r="BC164" s="140"/>
      <c r="BD164" s="140"/>
      <c r="BE164" s="140"/>
      <c r="BF164" s="140"/>
      <c r="BG164" s="140"/>
      <c r="BH164" s="140"/>
      <c r="BI164" s="140"/>
      <c r="BJ164" s="140"/>
      <c r="BK164" s="140"/>
      <c r="BL164" s="140"/>
      <c r="BM164" s="140"/>
      <c r="BN164" s="140"/>
      <c r="BO164" s="140"/>
      <c r="BP164" s="140"/>
      <c r="BQ164" s="140" t="str">
        <f>"      " &amp; "IPR" &amp; "(신용윤,박세형)" &amp; " " &amp; IF(P164="","",TEXT(P164,"M/D-")) &amp; IF(Q164="","",TEXT(Q164,"M/D")) &amp; " "</f>
        <v xml:space="preserve">      IPR(신용윤,박세형) 3/1-9/24 </v>
      </c>
      <c r="BR164" s="140"/>
      <c r="BS164" s="140"/>
      <c r="BT164" s="140"/>
      <c r="BU164" s="140"/>
      <c r="BV164" s="140"/>
      <c r="BW164" s="140"/>
      <c r="BX164" s="140"/>
      <c r="BY164" s="140"/>
      <c r="BZ164" s="140"/>
      <c r="CA164" s="140"/>
      <c r="CB164" s="140"/>
      <c r="CC164" s="140"/>
      <c r="CD164" s="140"/>
      <c r="CE164" s="140"/>
      <c r="CF164" s="140"/>
    </row>
    <row r="165" spans="1:84" ht="12" customHeight="1" outlineLevel="2">
      <c r="A165" s="129"/>
      <c r="B165" s="129" t="s">
        <v>1345</v>
      </c>
      <c r="C165" s="129">
        <v>3</v>
      </c>
      <c r="D165" s="130" t="s">
        <v>1495</v>
      </c>
      <c r="E165" s="131"/>
      <c r="F165" s="131"/>
      <c r="G165" s="131" t="s">
        <v>1456</v>
      </c>
      <c r="H165" s="131"/>
      <c r="I165" s="131"/>
      <c r="J165" s="131"/>
      <c r="K165" s="131"/>
      <c r="L165" s="131"/>
      <c r="M165" s="131"/>
      <c r="N165" s="131"/>
      <c r="O165" s="131"/>
      <c r="P165" s="132">
        <v>44256</v>
      </c>
      <c r="Q165" s="132">
        <v>44463</v>
      </c>
      <c r="R165" s="133"/>
      <c r="S165" s="134">
        <v>76</v>
      </c>
      <c r="T165" s="134">
        <v>0</v>
      </c>
      <c r="U165" s="134">
        <v>144</v>
      </c>
      <c r="V165" s="134">
        <v>0</v>
      </c>
      <c r="W165" s="132"/>
      <c r="X165" s="132"/>
      <c r="Y165" s="135">
        <v>0</v>
      </c>
      <c r="Z165" s="136">
        <v>0</v>
      </c>
      <c r="AA165" s="134"/>
      <c r="AB165" s="133" t="s">
        <v>1391</v>
      </c>
      <c r="AC165" s="137"/>
      <c r="AD165" s="138">
        <v>0</v>
      </c>
      <c r="AE165" s="192">
        <v>0</v>
      </c>
      <c r="AF165" s="139"/>
      <c r="AG165" s="140"/>
      <c r="AH165" s="140"/>
      <c r="AI165" s="140"/>
      <c r="AJ165" s="140"/>
      <c r="AK165" s="140"/>
      <c r="AL165" s="140"/>
      <c r="AM165" s="140"/>
      <c r="AN165" s="140" t="str">
        <f>" " &amp; TEXT(AE165,"#0.00%") &amp; " "</f>
        <v xml:space="preserve"> 0.00% </v>
      </c>
      <c r="AO165" s="140"/>
      <c r="AP165" s="140"/>
      <c r="AQ165" s="140"/>
      <c r="AR165" s="140"/>
      <c r="AS165" s="140"/>
      <c r="AT165" s="140"/>
      <c r="AU165" s="140"/>
      <c r="AV165" s="140"/>
      <c r="AW165" s="140"/>
      <c r="AX165" s="140"/>
      <c r="AY165" s="140"/>
      <c r="AZ165" s="140"/>
      <c r="BA165" s="140"/>
      <c r="BB165" s="140"/>
      <c r="BC165" s="140"/>
      <c r="BD165" s="140"/>
      <c r="BE165" s="140"/>
      <c r="BF165" s="140"/>
      <c r="BG165" s="140"/>
      <c r="BH165" s="140"/>
      <c r="BI165" s="140"/>
      <c r="BJ165" s="140"/>
      <c r="BK165" s="140"/>
      <c r="BL165" s="140"/>
      <c r="BM165" s="140"/>
      <c r="BN165" s="140"/>
      <c r="BO165" s="140"/>
      <c r="BP165" s="140"/>
      <c r="BQ165" s="140" t="str">
        <f>"      " &amp; "논문" &amp; "(신용윤,박세형)" &amp; " " &amp; IF(P165="","",TEXT(P165,"M/D-")) &amp; IF(Q165="","",TEXT(Q165,"M/D")) &amp; " "</f>
        <v xml:space="preserve">      논문(신용윤,박세형) 3/1-9/24 </v>
      </c>
      <c r="BR165" s="140"/>
      <c r="BS165" s="140"/>
      <c r="BT165" s="140"/>
      <c r="BU165" s="140"/>
      <c r="BV165" s="140"/>
      <c r="BW165" s="140"/>
      <c r="BX165" s="140"/>
      <c r="BY165" s="140"/>
      <c r="BZ165" s="140"/>
      <c r="CA165" s="140"/>
      <c r="CB165" s="140"/>
      <c r="CC165" s="140"/>
      <c r="CD165" s="140"/>
      <c r="CE165" s="140"/>
      <c r="CF165" s="140"/>
    </row>
    <row r="166" spans="1:84" ht="12" customHeight="1" outlineLevel="3">
      <c r="A166" s="129"/>
      <c r="B166" s="129" t="s">
        <v>1345</v>
      </c>
      <c r="C166" s="129">
        <v>4</v>
      </c>
      <c r="D166" s="130" t="s">
        <v>1496</v>
      </c>
      <c r="E166" s="131"/>
      <c r="F166" s="131"/>
      <c r="G166" s="131"/>
      <c r="H166" s="131" t="s">
        <v>1461</v>
      </c>
      <c r="I166" s="131"/>
      <c r="J166" s="131"/>
      <c r="K166" s="131"/>
      <c r="L166" s="131"/>
      <c r="M166" s="131"/>
      <c r="N166" s="131"/>
      <c r="O166" s="131"/>
      <c r="P166" s="132">
        <v>44256</v>
      </c>
      <c r="Q166" s="132">
        <v>44463</v>
      </c>
      <c r="R166" s="133"/>
      <c r="S166" s="134">
        <v>76</v>
      </c>
      <c r="T166" s="134">
        <v>0</v>
      </c>
      <c r="U166" s="134">
        <v>144</v>
      </c>
      <c r="V166" s="134">
        <v>0</v>
      </c>
      <c r="W166" s="132"/>
      <c r="X166" s="132"/>
      <c r="Y166" s="135">
        <v>0</v>
      </c>
      <c r="Z166" s="136">
        <v>0</v>
      </c>
      <c r="AA166" s="134"/>
      <c r="AB166" s="133" t="s">
        <v>1391</v>
      </c>
      <c r="AC166" s="137" t="s">
        <v>1456</v>
      </c>
      <c r="AD166" s="138">
        <v>0</v>
      </c>
      <c r="AE166" s="192">
        <v>0</v>
      </c>
      <c r="AF166" s="139"/>
      <c r="AG166" s="140"/>
      <c r="AH166" s="140"/>
      <c r="AI166" s="140"/>
      <c r="AJ166" s="140"/>
      <c r="AK166" s="140"/>
      <c r="AL166" s="140"/>
      <c r="AM166" s="140"/>
      <c r="AN166" s="140" t="str">
        <f>" " &amp; TEXT(AE166,"#0.00%") &amp; " "</f>
        <v xml:space="preserve"> 0.00% </v>
      </c>
      <c r="AO166" s="140"/>
      <c r="AP166" s="140"/>
      <c r="AQ166" s="140"/>
      <c r="AR166" s="140"/>
      <c r="AS166" s="140"/>
      <c r="AT166" s="140"/>
      <c r="AU166" s="140"/>
      <c r="AV166" s="140"/>
      <c r="AW166" s="140"/>
      <c r="AX166" s="140"/>
      <c r="AY166" s="140"/>
      <c r="AZ166" s="140"/>
      <c r="BA166" s="140"/>
      <c r="BB166" s="140"/>
      <c r="BC166" s="140"/>
      <c r="BD166" s="140"/>
      <c r="BE166" s="140"/>
      <c r="BF166" s="140"/>
      <c r="BG166" s="140"/>
      <c r="BH166" s="140"/>
      <c r="BI166" s="140"/>
      <c r="BJ166" s="140"/>
      <c r="BK166" s="140"/>
      <c r="BL166" s="140"/>
      <c r="BM166" s="140"/>
      <c r="BN166" s="140"/>
      <c r="BO166" s="140"/>
      <c r="BP166" s="140"/>
      <c r="BQ166" s="140" t="str">
        <f>"      " &amp; "국제" &amp; "(신용윤,박세형)" &amp; " " &amp; IF(P166="","",TEXT(P166,"M/D-")) &amp; IF(Q166="","",TEXT(Q166,"M/D")) &amp; " "</f>
        <v xml:space="preserve">      국제(신용윤,박세형) 3/1-9/24 </v>
      </c>
      <c r="BR166" s="140"/>
      <c r="BS166" s="140"/>
      <c r="BT166" s="140"/>
      <c r="BU166" s="140"/>
      <c r="BV166" s="140"/>
      <c r="BW166" s="140"/>
      <c r="BX166" s="140"/>
      <c r="BY166" s="140"/>
      <c r="BZ166" s="140"/>
      <c r="CA166" s="140"/>
      <c r="CB166" s="140"/>
      <c r="CC166" s="140"/>
      <c r="CD166" s="140"/>
      <c r="CE166" s="140"/>
      <c r="CF166" s="140"/>
    </row>
    <row r="167" spans="1:84" ht="12" customHeight="1" outlineLevel="4">
      <c r="A167" s="129"/>
      <c r="B167" s="129"/>
      <c r="C167" s="129">
        <v>5</v>
      </c>
      <c r="D167" s="130" t="s">
        <v>1787</v>
      </c>
      <c r="E167" s="131"/>
      <c r="F167" s="131"/>
      <c r="G167" s="131"/>
      <c r="H167" s="131"/>
      <c r="I167" s="131" t="s">
        <v>1638</v>
      </c>
      <c r="J167" s="131"/>
      <c r="K167" s="131"/>
      <c r="L167" s="131"/>
      <c r="M167" s="131"/>
      <c r="N167" s="131"/>
      <c r="O167" s="131"/>
      <c r="P167" s="132">
        <v>44256</v>
      </c>
      <c r="Q167" s="132">
        <v>44267</v>
      </c>
      <c r="R167" s="133"/>
      <c r="S167" s="134">
        <v>9</v>
      </c>
      <c r="T167" s="134">
        <v>0</v>
      </c>
      <c r="U167" s="134">
        <v>9</v>
      </c>
      <c r="V167" s="134">
        <v>0</v>
      </c>
      <c r="W167" s="132"/>
      <c r="X167" s="132"/>
      <c r="Y167" s="135"/>
      <c r="Z167" s="136">
        <v>0</v>
      </c>
      <c r="AA167" s="134"/>
      <c r="AB167" s="133" t="s">
        <v>1410</v>
      </c>
      <c r="AC167" s="137"/>
      <c r="AD167" s="138">
        <v>0</v>
      </c>
      <c r="AE167" s="165">
        <v>0</v>
      </c>
      <c r="AF167" s="139"/>
      <c r="AG167" s="140"/>
      <c r="AH167" s="140"/>
      <c r="AI167" s="140"/>
      <c r="AJ167" s="140"/>
      <c r="AK167" s="140"/>
      <c r="AL167" s="140"/>
      <c r="AM167" s="140"/>
      <c r="AN167" s="140" t="str">
        <f>" " &amp; TEXT(AE167,"#0.00%") &amp; " " &amp; "ACM-ICN 2021 (full paper) 1" &amp; "(신용윤)" &amp; " " &amp; IF(P167="","",TEXT(P167,"M/D-")) &amp; IF(Q167="","",TEXT(Q167,"M/D")) &amp; " "</f>
        <v xml:space="preserve"> 0.00% ACM-ICN 2021 (full paper) 1(신용윤) 3/1-3/12 </v>
      </c>
      <c r="AO167" s="140"/>
      <c r="AP167" s="140"/>
      <c r="AQ167" s="140"/>
      <c r="AR167" s="140"/>
      <c r="AS167" s="140"/>
      <c r="AT167" s="140"/>
      <c r="AU167" s="140"/>
      <c r="AV167" s="140"/>
      <c r="AW167" s="140"/>
      <c r="AX167" s="140"/>
      <c r="AY167" s="140"/>
      <c r="AZ167" s="140"/>
      <c r="BA167" s="140"/>
      <c r="BB167" s="140"/>
      <c r="BC167" s="140"/>
      <c r="BD167" s="140"/>
      <c r="BE167" s="140"/>
      <c r="BF167" s="140"/>
      <c r="BG167" s="140"/>
      <c r="BH167" s="140"/>
      <c r="BI167" s="140"/>
      <c r="BJ167" s="140"/>
      <c r="BK167" s="140"/>
      <c r="BL167" s="140"/>
      <c r="BM167" s="140"/>
      <c r="BN167" s="140"/>
      <c r="BO167" s="140"/>
      <c r="BP167" s="140"/>
      <c r="BQ167" s="140"/>
      <c r="BR167" s="140"/>
      <c r="BS167" s="140"/>
      <c r="BT167" s="140"/>
      <c r="BU167" s="140"/>
      <c r="BV167" s="140"/>
      <c r="BW167" s="140"/>
      <c r="BX167" s="140"/>
      <c r="BY167" s="140"/>
      <c r="BZ167" s="140"/>
      <c r="CA167" s="140"/>
      <c r="CB167" s="140"/>
      <c r="CC167" s="140"/>
      <c r="CD167" s="140"/>
      <c r="CE167" s="140"/>
      <c r="CF167" s="140"/>
    </row>
    <row r="168" spans="1:84" ht="12" customHeight="1" outlineLevel="4">
      <c r="A168" s="129"/>
      <c r="B168" s="129"/>
      <c r="C168" s="129">
        <v>5</v>
      </c>
      <c r="D168" s="130" t="s">
        <v>1788</v>
      </c>
      <c r="E168" s="131"/>
      <c r="F168" s="131"/>
      <c r="G168" s="131"/>
      <c r="H168" s="131"/>
      <c r="I168" s="131" t="s">
        <v>1639</v>
      </c>
      <c r="J168" s="131"/>
      <c r="K168" s="131"/>
      <c r="L168" s="131"/>
      <c r="M168" s="131"/>
      <c r="N168" s="131"/>
      <c r="O168" s="131"/>
      <c r="P168" s="132">
        <v>44270</v>
      </c>
      <c r="Q168" s="132">
        <v>44281</v>
      </c>
      <c r="R168" s="133"/>
      <c r="S168" s="134">
        <v>10</v>
      </c>
      <c r="T168" s="134">
        <v>0</v>
      </c>
      <c r="U168" s="134">
        <v>10</v>
      </c>
      <c r="V168" s="134">
        <v>0</v>
      </c>
      <c r="W168" s="132"/>
      <c r="X168" s="132"/>
      <c r="Y168" s="135"/>
      <c r="Z168" s="136">
        <v>0</v>
      </c>
      <c r="AA168" s="134"/>
      <c r="AB168" s="133" t="s">
        <v>1410</v>
      </c>
      <c r="AC168" s="137"/>
      <c r="AD168" s="138">
        <v>0</v>
      </c>
      <c r="AE168" s="165">
        <v>0</v>
      </c>
      <c r="AF168" s="139"/>
      <c r="AG168" s="140"/>
      <c r="AH168" s="140"/>
      <c r="AI168" s="140"/>
      <c r="AJ168" s="140"/>
      <c r="AK168" s="140"/>
      <c r="AL168" s="140"/>
      <c r="AM168" s="140"/>
      <c r="AN168" s="140"/>
      <c r="AO168" s="140"/>
      <c r="AP168" s="140" t="str">
        <f>" " &amp; TEXT(AE168,"#0.00%") &amp; " " &amp; "ACM-ICN 2021 (full paper) 2" &amp; "(신용윤)" &amp; " " &amp; IF(P168="","",TEXT(P168,"M/D-")) &amp; IF(Q168="","",TEXT(Q168,"M/D")) &amp; " "</f>
        <v xml:space="preserve"> 0.00% ACM-ICN 2021 (full paper) 2(신용윤) 3/15-3/26 </v>
      </c>
      <c r="AQ168" s="140"/>
      <c r="AR168" s="140"/>
      <c r="AS168" s="140"/>
      <c r="AT168" s="140"/>
      <c r="AU168" s="140"/>
      <c r="AV168" s="140"/>
      <c r="AW168" s="140"/>
      <c r="AX168" s="140"/>
      <c r="AY168" s="140"/>
      <c r="AZ168" s="140"/>
      <c r="BA168" s="140"/>
      <c r="BB168" s="140"/>
      <c r="BC168" s="140"/>
      <c r="BD168" s="140"/>
      <c r="BE168" s="140"/>
      <c r="BF168" s="140"/>
      <c r="BG168" s="140"/>
      <c r="BH168" s="140"/>
      <c r="BI168" s="140"/>
      <c r="BJ168" s="140"/>
      <c r="BK168" s="140"/>
      <c r="BL168" s="140"/>
      <c r="BM168" s="140"/>
      <c r="BN168" s="140"/>
      <c r="BO168" s="140"/>
      <c r="BP168" s="140"/>
      <c r="BQ168" s="140"/>
      <c r="BR168" s="140"/>
      <c r="BS168" s="140"/>
      <c r="BT168" s="140"/>
      <c r="BU168" s="140"/>
      <c r="BV168" s="140"/>
      <c r="BW168" s="140"/>
      <c r="BX168" s="140"/>
      <c r="BY168" s="140"/>
      <c r="BZ168" s="140"/>
      <c r="CA168" s="140"/>
      <c r="CB168" s="140"/>
      <c r="CC168" s="140"/>
      <c r="CD168" s="140"/>
      <c r="CE168" s="140"/>
      <c r="CF168" s="140"/>
    </row>
    <row r="169" spans="1:84" ht="12" customHeight="1" outlineLevel="4">
      <c r="A169" s="129"/>
      <c r="B169" s="129"/>
      <c r="C169" s="129">
        <v>5</v>
      </c>
      <c r="D169" s="130" t="s">
        <v>1789</v>
      </c>
      <c r="E169" s="131"/>
      <c r="F169" s="131"/>
      <c r="G169" s="131"/>
      <c r="H169" s="131"/>
      <c r="I169" s="131" t="s">
        <v>1640</v>
      </c>
      <c r="J169" s="131"/>
      <c r="K169" s="131"/>
      <c r="L169" s="131"/>
      <c r="M169" s="131"/>
      <c r="N169" s="131"/>
      <c r="O169" s="131"/>
      <c r="P169" s="132">
        <v>44284</v>
      </c>
      <c r="Q169" s="132">
        <v>44295</v>
      </c>
      <c r="R169" s="133"/>
      <c r="S169" s="134">
        <v>10</v>
      </c>
      <c r="T169" s="134">
        <v>0</v>
      </c>
      <c r="U169" s="134">
        <v>10</v>
      </c>
      <c r="V169" s="134">
        <v>0</v>
      </c>
      <c r="W169" s="132"/>
      <c r="X169" s="132"/>
      <c r="Y169" s="135"/>
      <c r="Z169" s="136">
        <v>0</v>
      </c>
      <c r="AA169" s="134"/>
      <c r="AB169" s="133" t="s">
        <v>1410</v>
      </c>
      <c r="AC169" s="137"/>
      <c r="AD169" s="138">
        <v>0</v>
      </c>
      <c r="AE169" s="165">
        <v>0</v>
      </c>
      <c r="AF169" s="139"/>
      <c r="AG169" s="140"/>
      <c r="AH169" s="140"/>
      <c r="AI169" s="140"/>
      <c r="AJ169" s="140"/>
      <c r="AK169" s="140"/>
      <c r="AL169" s="140"/>
      <c r="AM169" s="140"/>
      <c r="AN169" s="140"/>
      <c r="AO169" s="140"/>
      <c r="AP169" s="140"/>
      <c r="AQ169" s="140"/>
      <c r="AR169" s="140" t="str">
        <f>" " &amp; TEXT(AE169,"#0.00%") &amp; " " &amp; "ACM-ICN 2021 (full paper) 3" &amp; "(신용윤)" &amp; " " &amp; IF(P169="","",TEXT(P169,"M/D-")) &amp; IF(Q169="","",TEXT(Q169,"M/D")) &amp; " "</f>
        <v xml:space="preserve"> 0.00% ACM-ICN 2021 (full paper) 3(신용윤) 3/29-4/9 </v>
      </c>
      <c r="AS169" s="140"/>
      <c r="AT169" s="140"/>
      <c r="AU169" s="140"/>
      <c r="AV169" s="140"/>
      <c r="AW169" s="140"/>
      <c r="AX169" s="140"/>
      <c r="AY169" s="140"/>
      <c r="AZ169" s="140"/>
      <c r="BA169" s="140"/>
      <c r="BB169" s="140"/>
      <c r="BC169" s="140"/>
      <c r="BD169" s="140"/>
      <c r="BE169" s="140"/>
      <c r="BF169" s="140"/>
      <c r="BG169" s="140"/>
      <c r="BH169" s="140"/>
      <c r="BI169" s="140"/>
      <c r="BJ169" s="140"/>
      <c r="BK169" s="140"/>
      <c r="BL169" s="140"/>
      <c r="BM169" s="140"/>
      <c r="BN169" s="140"/>
      <c r="BO169" s="140"/>
      <c r="BP169" s="140"/>
      <c r="BQ169" s="140"/>
      <c r="BR169" s="140"/>
      <c r="BS169" s="140"/>
      <c r="BT169" s="140"/>
      <c r="BU169" s="140"/>
      <c r="BV169" s="140"/>
      <c r="BW169" s="140"/>
      <c r="BX169" s="140"/>
      <c r="BY169" s="140"/>
      <c r="BZ169" s="140"/>
      <c r="CA169" s="140"/>
      <c r="CB169" s="140"/>
      <c r="CC169" s="140"/>
      <c r="CD169" s="140"/>
      <c r="CE169" s="140"/>
      <c r="CF169" s="140"/>
    </row>
    <row r="170" spans="1:84" ht="12" customHeight="1" outlineLevel="4">
      <c r="A170" s="129"/>
      <c r="B170" s="129"/>
      <c r="C170" s="129">
        <v>5</v>
      </c>
      <c r="D170" s="130" t="s">
        <v>1790</v>
      </c>
      <c r="E170" s="131"/>
      <c r="F170" s="131"/>
      <c r="G170" s="131"/>
      <c r="H170" s="131"/>
      <c r="I170" s="131" t="s">
        <v>1641</v>
      </c>
      <c r="J170" s="131"/>
      <c r="K170" s="131"/>
      <c r="L170" s="131"/>
      <c r="M170" s="131"/>
      <c r="N170" s="131"/>
      <c r="O170" s="131"/>
      <c r="P170" s="132">
        <v>44298</v>
      </c>
      <c r="Q170" s="132">
        <v>44309</v>
      </c>
      <c r="R170" s="133"/>
      <c r="S170" s="134">
        <v>10</v>
      </c>
      <c r="T170" s="134">
        <v>0</v>
      </c>
      <c r="U170" s="134">
        <v>10</v>
      </c>
      <c r="V170" s="134">
        <v>0</v>
      </c>
      <c r="W170" s="132"/>
      <c r="X170" s="132"/>
      <c r="Y170" s="135"/>
      <c r="Z170" s="136">
        <v>0</v>
      </c>
      <c r="AA170" s="134"/>
      <c r="AB170" s="133" t="s">
        <v>1410</v>
      </c>
      <c r="AC170" s="137"/>
      <c r="AD170" s="138">
        <v>0</v>
      </c>
      <c r="AE170" s="165">
        <v>0</v>
      </c>
      <c r="AF170" s="139"/>
      <c r="AG170" s="140"/>
      <c r="AH170" s="140"/>
      <c r="AI170" s="140"/>
      <c r="AJ170" s="140"/>
      <c r="AK170" s="140"/>
      <c r="AL170" s="140"/>
      <c r="AM170" s="140"/>
      <c r="AN170" s="140"/>
      <c r="AO170" s="140"/>
      <c r="AP170" s="140"/>
      <c r="AQ170" s="140"/>
      <c r="AR170" s="140"/>
      <c r="AS170" s="140"/>
      <c r="AT170" s="140" t="str">
        <f>" " &amp; TEXT(AE170,"#0.00%") &amp; " " &amp; "ACM-ICN 2021 (full paper) 4" &amp; "(신용윤)" &amp; " " &amp; IF(P170="","",TEXT(P170,"M/D-")) &amp; IF(Q170="","",TEXT(Q170,"M/D")) &amp; " "</f>
        <v xml:space="preserve"> 0.00% ACM-ICN 2021 (full paper) 4(신용윤) 4/12-4/23 </v>
      </c>
      <c r="AU170" s="140"/>
      <c r="AV170" s="140"/>
      <c r="AW170" s="140"/>
      <c r="AX170" s="140"/>
      <c r="AY170" s="140"/>
      <c r="AZ170" s="140"/>
      <c r="BA170" s="140"/>
      <c r="BB170" s="140"/>
      <c r="BC170" s="140"/>
      <c r="BD170" s="140"/>
      <c r="BE170" s="140"/>
      <c r="BF170" s="140"/>
      <c r="BG170" s="140"/>
      <c r="BH170" s="140"/>
      <c r="BI170" s="140"/>
      <c r="BJ170" s="140"/>
      <c r="BK170" s="140"/>
      <c r="BL170" s="140"/>
      <c r="BM170" s="140"/>
      <c r="BN170" s="140"/>
      <c r="BO170" s="140"/>
      <c r="BP170" s="140"/>
      <c r="BQ170" s="140"/>
      <c r="BR170" s="140"/>
      <c r="BS170" s="140"/>
      <c r="BT170" s="140"/>
      <c r="BU170" s="140"/>
      <c r="BV170" s="140"/>
      <c r="BW170" s="140"/>
      <c r="BX170" s="140"/>
      <c r="BY170" s="140"/>
      <c r="BZ170" s="140"/>
      <c r="CA170" s="140"/>
      <c r="CB170" s="140"/>
      <c r="CC170" s="140"/>
      <c r="CD170" s="140"/>
      <c r="CE170" s="140"/>
      <c r="CF170" s="140"/>
    </row>
    <row r="171" spans="1:84" ht="12" customHeight="1" outlineLevel="4">
      <c r="A171" s="129"/>
      <c r="B171" s="129"/>
      <c r="C171" s="129">
        <v>5</v>
      </c>
      <c r="D171" s="130" t="s">
        <v>1791</v>
      </c>
      <c r="E171" s="131"/>
      <c r="F171" s="131"/>
      <c r="G171" s="131"/>
      <c r="H171" s="131"/>
      <c r="I171" s="131" t="s">
        <v>1642</v>
      </c>
      <c r="J171" s="131"/>
      <c r="K171" s="131"/>
      <c r="L171" s="131"/>
      <c r="M171" s="131"/>
      <c r="N171" s="131"/>
      <c r="O171" s="131"/>
      <c r="P171" s="132">
        <v>44410</v>
      </c>
      <c r="Q171" s="132">
        <v>44421</v>
      </c>
      <c r="R171" s="133"/>
      <c r="S171" s="134">
        <v>10</v>
      </c>
      <c r="T171" s="134">
        <v>0</v>
      </c>
      <c r="U171" s="134">
        <v>10</v>
      </c>
      <c r="V171" s="134">
        <v>0</v>
      </c>
      <c r="W171" s="132"/>
      <c r="X171" s="132"/>
      <c r="Y171" s="135"/>
      <c r="Z171" s="136">
        <v>0</v>
      </c>
      <c r="AA171" s="134"/>
      <c r="AB171" s="133" t="s">
        <v>1405</v>
      </c>
      <c r="AC171" s="137"/>
      <c r="AD171" s="138">
        <v>0</v>
      </c>
      <c r="AE171" s="165">
        <v>0</v>
      </c>
      <c r="AF171" s="139"/>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c r="BH171" s="140"/>
      <c r="BI171" s="140"/>
      <c r="BJ171" s="140" t="str">
        <f>" " &amp; TEXT(AE171,"#0.00%") &amp; " " &amp; "ICACT 2021 1" &amp; "(박세형)" &amp; " " &amp; IF(P171="","",TEXT(P171,"M/D-")) &amp; IF(Q171="","",TEXT(Q171,"M/D")) &amp; " "</f>
        <v xml:space="preserve"> 0.00% ICACT 2021 1(박세형) 8/2-8/13 </v>
      </c>
      <c r="BK171" s="140"/>
      <c r="BL171" s="140"/>
      <c r="BM171" s="140"/>
      <c r="BN171" s="140"/>
      <c r="BO171" s="140"/>
      <c r="BP171" s="140"/>
      <c r="BQ171" s="140"/>
      <c r="BR171" s="140"/>
      <c r="BS171" s="140"/>
      <c r="BT171" s="140"/>
      <c r="BU171" s="140"/>
      <c r="BV171" s="140"/>
      <c r="BW171" s="140"/>
      <c r="BX171" s="140"/>
      <c r="BY171" s="140"/>
      <c r="BZ171" s="140"/>
      <c r="CA171" s="140"/>
      <c r="CB171" s="140"/>
      <c r="CC171" s="140"/>
      <c r="CD171" s="140"/>
      <c r="CE171" s="140"/>
      <c r="CF171" s="140"/>
    </row>
    <row r="172" spans="1:84" ht="12" customHeight="1" outlineLevel="4">
      <c r="A172" s="129"/>
      <c r="B172" s="129"/>
      <c r="C172" s="129">
        <v>5</v>
      </c>
      <c r="D172" s="130" t="s">
        <v>1792</v>
      </c>
      <c r="E172" s="131"/>
      <c r="F172" s="131"/>
      <c r="G172" s="131"/>
      <c r="H172" s="131"/>
      <c r="I172" s="131" t="s">
        <v>1643</v>
      </c>
      <c r="J172" s="131"/>
      <c r="K172" s="131"/>
      <c r="L172" s="131"/>
      <c r="M172" s="131"/>
      <c r="N172" s="131"/>
      <c r="O172" s="131"/>
      <c r="P172" s="132">
        <v>44424</v>
      </c>
      <c r="Q172" s="132">
        <v>44435</v>
      </c>
      <c r="R172" s="133"/>
      <c r="S172" s="134">
        <v>10</v>
      </c>
      <c r="T172" s="134">
        <v>0</v>
      </c>
      <c r="U172" s="134">
        <v>10</v>
      </c>
      <c r="V172" s="134">
        <v>0</v>
      </c>
      <c r="W172" s="132"/>
      <c r="X172" s="132"/>
      <c r="Y172" s="135"/>
      <c r="Z172" s="136">
        <v>0</v>
      </c>
      <c r="AA172" s="134"/>
      <c r="AB172" s="133" t="s">
        <v>1405</v>
      </c>
      <c r="AC172" s="137"/>
      <c r="AD172" s="138">
        <v>0</v>
      </c>
      <c r="AE172" s="165">
        <v>0</v>
      </c>
      <c r="AF172" s="139"/>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c r="BH172" s="140"/>
      <c r="BI172" s="140"/>
      <c r="BJ172" s="140"/>
      <c r="BK172" s="140"/>
      <c r="BL172" s="140" t="str">
        <f>" " &amp; TEXT(AE172,"#0.00%") &amp; " " &amp; "ICACT 2021 2" &amp; "(박세형)" &amp; " " &amp; IF(P172="","",TEXT(P172,"M/D-")) &amp; IF(Q172="","",TEXT(Q172,"M/D")) &amp; " "</f>
        <v xml:space="preserve"> 0.00% ICACT 2021 2(박세형) 8/16-8/27 </v>
      </c>
      <c r="BM172" s="140"/>
      <c r="BN172" s="140"/>
      <c r="BO172" s="140"/>
      <c r="BP172" s="140"/>
      <c r="BQ172" s="140"/>
      <c r="BR172" s="140"/>
      <c r="BS172" s="140"/>
      <c r="BT172" s="140"/>
      <c r="BU172" s="140"/>
      <c r="BV172" s="140"/>
      <c r="BW172" s="140"/>
      <c r="BX172" s="140"/>
      <c r="BY172" s="140"/>
      <c r="BZ172" s="140"/>
      <c r="CA172" s="140"/>
      <c r="CB172" s="140"/>
      <c r="CC172" s="140"/>
      <c r="CD172" s="140"/>
      <c r="CE172" s="140"/>
      <c r="CF172" s="140"/>
    </row>
    <row r="173" spans="1:84" ht="12" customHeight="1" outlineLevel="4">
      <c r="A173" s="129"/>
      <c r="B173" s="129"/>
      <c r="C173" s="129">
        <v>5</v>
      </c>
      <c r="D173" s="130" t="s">
        <v>1793</v>
      </c>
      <c r="E173" s="131"/>
      <c r="F173" s="131"/>
      <c r="G173" s="131"/>
      <c r="H173" s="131"/>
      <c r="I173" s="131" t="s">
        <v>1644</v>
      </c>
      <c r="J173" s="131"/>
      <c r="K173" s="131"/>
      <c r="L173" s="131"/>
      <c r="M173" s="131"/>
      <c r="N173" s="131"/>
      <c r="O173" s="131"/>
      <c r="P173" s="132">
        <v>44438</v>
      </c>
      <c r="Q173" s="132">
        <v>44449</v>
      </c>
      <c r="R173" s="133"/>
      <c r="S173" s="134">
        <v>10</v>
      </c>
      <c r="T173" s="134">
        <v>0</v>
      </c>
      <c r="U173" s="134">
        <v>10</v>
      </c>
      <c r="V173" s="134">
        <v>0</v>
      </c>
      <c r="W173" s="132"/>
      <c r="X173" s="132"/>
      <c r="Y173" s="135"/>
      <c r="Z173" s="136">
        <v>0</v>
      </c>
      <c r="AA173" s="134"/>
      <c r="AB173" s="133" t="s">
        <v>1405</v>
      </c>
      <c r="AC173" s="137"/>
      <c r="AD173" s="138">
        <v>0</v>
      </c>
      <c r="AE173" s="165">
        <v>0</v>
      </c>
      <c r="AF173" s="139"/>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t="str">
        <f>" " &amp; TEXT(AE173,"#0.00%") &amp; " " &amp; "ICACT 2021 3" &amp; "(박세형)" &amp; " " &amp; IF(P173="","",TEXT(P173,"M/D-")) &amp; IF(Q173="","",TEXT(Q173,"M/D")) &amp; " "</f>
        <v xml:space="preserve"> 0.00% ICACT 2021 3(박세형) 8/30-9/10 </v>
      </c>
      <c r="BO173" s="140"/>
      <c r="BP173" s="140"/>
      <c r="BQ173" s="140"/>
      <c r="BR173" s="140"/>
      <c r="BS173" s="140"/>
      <c r="BT173" s="140"/>
      <c r="BU173" s="140"/>
      <c r="BV173" s="140"/>
      <c r="BW173" s="140"/>
      <c r="BX173" s="140"/>
      <c r="BY173" s="140"/>
      <c r="BZ173" s="140"/>
      <c r="CA173" s="140"/>
      <c r="CB173" s="140"/>
      <c r="CC173" s="140"/>
      <c r="CD173" s="140"/>
      <c r="CE173" s="140"/>
      <c r="CF173" s="140"/>
    </row>
    <row r="174" spans="1:84" ht="12" customHeight="1" outlineLevel="4">
      <c r="A174" s="129"/>
      <c r="B174" s="129"/>
      <c r="C174" s="129">
        <v>5</v>
      </c>
      <c r="D174" s="130" t="s">
        <v>1794</v>
      </c>
      <c r="E174" s="131"/>
      <c r="F174" s="131"/>
      <c r="G174" s="131"/>
      <c r="H174" s="131"/>
      <c r="I174" s="131" t="s">
        <v>1645</v>
      </c>
      <c r="J174" s="131"/>
      <c r="K174" s="131"/>
      <c r="L174" s="131"/>
      <c r="M174" s="131"/>
      <c r="N174" s="131"/>
      <c r="O174" s="131"/>
      <c r="P174" s="132">
        <v>44452</v>
      </c>
      <c r="Q174" s="132">
        <v>44463</v>
      </c>
      <c r="R174" s="133"/>
      <c r="S174" s="134">
        <v>7</v>
      </c>
      <c r="T174" s="134">
        <v>0</v>
      </c>
      <c r="U174" s="134">
        <v>7</v>
      </c>
      <c r="V174" s="134">
        <v>0</v>
      </c>
      <c r="W174" s="132"/>
      <c r="X174" s="132"/>
      <c r="Y174" s="135"/>
      <c r="Z174" s="136">
        <v>0</v>
      </c>
      <c r="AA174" s="134"/>
      <c r="AB174" s="133" t="s">
        <v>1405</v>
      </c>
      <c r="AC174" s="137"/>
      <c r="AD174" s="138">
        <v>0</v>
      </c>
      <c r="AE174" s="165">
        <v>0</v>
      </c>
      <c r="AF174" s="139"/>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c r="BH174" s="140"/>
      <c r="BI174" s="140"/>
      <c r="BJ174" s="140"/>
      <c r="BK174" s="140"/>
      <c r="BL174" s="140"/>
      <c r="BM174" s="140"/>
      <c r="BN174" s="140"/>
      <c r="BO174" s="140"/>
      <c r="BP174" s="140" t="str">
        <f>" " &amp; TEXT(AE174,"#0.00%") &amp; " " &amp; "ICACT 2021 4" &amp; "(박세형)" &amp; " " &amp; IF(P174="","",TEXT(P174,"M/D-")) &amp; IF(Q174="","",TEXT(Q174,"M/D")) &amp; " "</f>
        <v xml:space="preserve"> 0.00% ICACT 2021 4(박세형) 9/13-9/24 </v>
      </c>
      <c r="BQ174" s="140"/>
      <c r="BR174" s="140"/>
      <c r="BS174" s="140"/>
      <c r="BT174" s="140"/>
      <c r="BU174" s="140"/>
      <c r="BV174" s="140"/>
      <c r="BW174" s="140"/>
      <c r="BX174" s="140"/>
      <c r="BY174" s="140"/>
      <c r="BZ174" s="140"/>
      <c r="CA174" s="140"/>
      <c r="CB174" s="140"/>
      <c r="CC174" s="140"/>
      <c r="CD174" s="140"/>
      <c r="CE174" s="140"/>
      <c r="CF174" s="140"/>
    </row>
    <row r="175" spans="1:84" ht="12" customHeight="1" outlineLevel="2">
      <c r="A175" s="129"/>
      <c r="B175" s="129" t="s">
        <v>1345</v>
      </c>
      <c r="C175" s="129">
        <v>3</v>
      </c>
      <c r="D175" s="130" t="s">
        <v>1497</v>
      </c>
      <c r="E175" s="131"/>
      <c r="F175" s="131"/>
      <c r="G175" s="131" t="s">
        <v>1458</v>
      </c>
      <c r="H175" s="131"/>
      <c r="I175" s="131"/>
      <c r="J175" s="131"/>
      <c r="K175" s="131"/>
      <c r="L175" s="131"/>
      <c r="M175" s="131"/>
      <c r="N175" s="131"/>
      <c r="O175" s="131"/>
      <c r="P175" s="132">
        <v>44354</v>
      </c>
      <c r="Q175" s="132">
        <v>44407</v>
      </c>
      <c r="R175" s="133"/>
      <c r="S175" s="134">
        <v>80</v>
      </c>
      <c r="T175" s="134">
        <v>0</v>
      </c>
      <c r="U175" s="134">
        <v>40</v>
      </c>
      <c r="V175" s="134">
        <v>0</v>
      </c>
      <c r="W175" s="132"/>
      <c r="X175" s="132"/>
      <c r="Y175" s="135">
        <v>0</v>
      </c>
      <c r="Z175" s="136">
        <v>0</v>
      </c>
      <c r="AA175" s="134"/>
      <c r="AB175" s="133" t="s">
        <v>1391</v>
      </c>
      <c r="AC175" s="137"/>
      <c r="AD175" s="138">
        <v>0</v>
      </c>
      <c r="AE175" s="192">
        <v>0</v>
      </c>
      <c r="AF175" s="139"/>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t="str">
        <f>" " &amp; TEXT(AE175,"#0.00%") &amp; " "</f>
        <v xml:space="preserve"> 0.00% </v>
      </c>
      <c r="BC175" s="140"/>
      <c r="BD175" s="140"/>
      <c r="BE175" s="140"/>
      <c r="BF175" s="140"/>
      <c r="BG175" s="140"/>
      <c r="BH175" s="140"/>
      <c r="BI175" s="140" t="str">
        <f>"      " &amp; "특허" &amp; "(신용윤,박세형)" &amp; " " &amp; IF(P175="","",TEXT(P175,"M/D-")) &amp; IF(Q175="","",TEXT(Q175,"M/D")) &amp; " "</f>
        <v xml:space="preserve">      특허(신용윤,박세형) 6/7-7/30 </v>
      </c>
      <c r="BJ175" s="140"/>
      <c r="BK175" s="140"/>
      <c r="BL175" s="140"/>
      <c r="BM175" s="140"/>
      <c r="BN175" s="140"/>
      <c r="BO175" s="140"/>
      <c r="BP175" s="140"/>
      <c r="BQ175" s="140"/>
      <c r="BR175" s="140"/>
      <c r="BS175" s="140"/>
      <c r="BT175" s="140"/>
      <c r="BU175" s="140"/>
      <c r="BV175" s="140"/>
      <c r="BW175" s="140"/>
      <c r="BX175" s="140"/>
      <c r="BY175" s="140"/>
      <c r="BZ175" s="140"/>
      <c r="CA175" s="140"/>
      <c r="CB175" s="140"/>
      <c r="CC175" s="140"/>
      <c r="CD175" s="140"/>
      <c r="CE175" s="140"/>
      <c r="CF175" s="140"/>
    </row>
    <row r="176" spans="1:84" ht="12" customHeight="1" outlineLevel="3">
      <c r="A176" s="129"/>
      <c r="B176" s="129" t="s">
        <v>1345</v>
      </c>
      <c r="C176" s="129">
        <v>4</v>
      </c>
      <c r="D176" s="130" t="s">
        <v>1498</v>
      </c>
      <c r="E176" s="131"/>
      <c r="F176" s="131"/>
      <c r="G176" s="131"/>
      <c r="H176" s="131" t="s">
        <v>1461</v>
      </c>
      <c r="I176" s="131"/>
      <c r="J176" s="131"/>
      <c r="K176" s="131"/>
      <c r="L176" s="131"/>
      <c r="M176" s="131"/>
      <c r="N176" s="131"/>
      <c r="O176" s="131"/>
      <c r="P176" s="132">
        <v>44354</v>
      </c>
      <c r="Q176" s="132">
        <v>44407</v>
      </c>
      <c r="R176" s="133"/>
      <c r="S176" s="134">
        <v>80</v>
      </c>
      <c r="T176" s="134">
        <v>0</v>
      </c>
      <c r="U176" s="134">
        <v>40</v>
      </c>
      <c r="V176" s="134">
        <v>0</v>
      </c>
      <c r="W176" s="132"/>
      <c r="X176" s="132"/>
      <c r="Y176" s="135">
        <v>0</v>
      </c>
      <c r="Z176" s="136">
        <v>0</v>
      </c>
      <c r="AA176" s="134"/>
      <c r="AB176" s="133" t="s">
        <v>1391</v>
      </c>
      <c r="AC176" s="137" t="s">
        <v>1458</v>
      </c>
      <c r="AD176" s="138">
        <v>0</v>
      </c>
      <c r="AE176" s="192">
        <v>0</v>
      </c>
      <c r="AF176" s="139"/>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t="str">
        <f>" " &amp; TEXT(AE176,"#0.00%") &amp; " "</f>
        <v xml:space="preserve"> 0.00% </v>
      </c>
      <c r="BC176" s="140"/>
      <c r="BD176" s="140"/>
      <c r="BE176" s="140"/>
      <c r="BF176" s="140"/>
      <c r="BG176" s="140"/>
      <c r="BH176" s="140"/>
      <c r="BI176" s="140" t="str">
        <f>"      " &amp; "국제" &amp; "(신용윤,박세형)" &amp; " " &amp; IF(P176="","",TEXT(P176,"M/D-")) &amp; IF(Q176="","",TEXT(Q176,"M/D")) &amp; " "</f>
        <v xml:space="preserve">      국제(신용윤,박세형) 6/7-7/30 </v>
      </c>
      <c r="BJ176" s="140"/>
      <c r="BK176" s="140"/>
      <c r="BL176" s="140"/>
      <c r="BM176" s="140"/>
      <c r="BN176" s="140"/>
      <c r="BO176" s="140"/>
      <c r="BP176" s="140"/>
      <c r="BQ176" s="140"/>
      <c r="BR176" s="140"/>
      <c r="BS176" s="140"/>
      <c r="BT176" s="140"/>
      <c r="BU176" s="140"/>
      <c r="BV176" s="140"/>
      <c r="BW176" s="140"/>
      <c r="BX176" s="140"/>
      <c r="BY176" s="140"/>
      <c r="BZ176" s="140"/>
      <c r="CA176" s="140"/>
      <c r="CB176" s="140"/>
      <c r="CC176" s="140"/>
      <c r="CD176" s="140"/>
      <c r="CE176" s="140"/>
      <c r="CF176" s="140"/>
    </row>
    <row r="177" spans="1:84" ht="12" customHeight="1" outlineLevel="4">
      <c r="A177" s="129"/>
      <c r="B177" s="129"/>
      <c r="C177" s="129">
        <v>5</v>
      </c>
      <c r="D177" s="130" t="s">
        <v>1795</v>
      </c>
      <c r="E177" s="131"/>
      <c r="F177" s="131"/>
      <c r="G177" s="131"/>
      <c r="H177" s="131"/>
      <c r="I177" s="131" t="s">
        <v>1646</v>
      </c>
      <c r="J177" s="131"/>
      <c r="K177" s="131"/>
      <c r="L177" s="131"/>
      <c r="M177" s="131"/>
      <c r="N177" s="131"/>
      <c r="O177" s="131"/>
      <c r="P177" s="132">
        <v>44354</v>
      </c>
      <c r="Q177" s="132">
        <v>44365</v>
      </c>
      <c r="R177" s="133"/>
      <c r="S177" s="134">
        <v>10</v>
      </c>
      <c r="T177" s="134">
        <v>0</v>
      </c>
      <c r="U177" s="134">
        <v>10</v>
      </c>
      <c r="V177" s="134">
        <v>0</v>
      </c>
      <c r="W177" s="132"/>
      <c r="X177" s="132"/>
      <c r="Y177" s="135"/>
      <c r="Z177" s="136">
        <v>0</v>
      </c>
      <c r="AA177" s="134"/>
      <c r="AB177" s="133" t="s">
        <v>1410</v>
      </c>
      <c r="AC177" s="137"/>
      <c r="AD177" s="138">
        <v>0</v>
      </c>
      <c r="AE177" s="165">
        <v>0</v>
      </c>
      <c r="AF177" s="139"/>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t="str">
        <f>" " &amp; TEXT(AE177,"#0.00%") &amp; " " &amp; "DHT 기반 동적 NDN 노드 구성 방법 (국제) 1" &amp; "(신용윤)" &amp; " " &amp; IF(P177="","",TEXT(P177,"M/D-")) &amp; IF(Q177="","",TEXT(Q177,"M/D")) &amp; " "</f>
        <v xml:space="preserve"> 0.00% DHT 기반 동적 NDN 노드 구성 방법 (국제) 1(신용윤) 6/7-6/18 </v>
      </c>
      <c r="BC177" s="140"/>
      <c r="BD177" s="140"/>
      <c r="BE177" s="140"/>
      <c r="BF177" s="140"/>
      <c r="BG177" s="140"/>
      <c r="BH177" s="140"/>
      <c r="BI177" s="140"/>
      <c r="BJ177" s="140"/>
      <c r="BK177" s="140"/>
      <c r="BL177" s="140"/>
      <c r="BM177" s="140"/>
      <c r="BN177" s="140"/>
      <c r="BO177" s="140"/>
      <c r="BP177" s="140"/>
      <c r="BQ177" s="140"/>
      <c r="BR177" s="140"/>
      <c r="BS177" s="140"/>
      <c r="BT177" s="140"/>
      <c r="BU177" s="140"/>
      <c r="BV177" s="140"/>
      <c r="BW177" s="140"/>
      <c r="BX177" s="140"/>
      <c r="BY177" s="140"/>
      <c r="BZ177" s="140"/>
      <c r="CA177" s="140"/>
      <c r="CB177" s="140"/>
      <c r="CC177" s="140"/>
      <c r="CD177" s="140"/>
      <c r="CE177" s="140"/>
      <c r="CF177" s="140"/>
    </row>
    <row r="178" spans="1:84" ht="12" customHeight="1" outlineLevel="4">
      <c r="A178" s="129"/>
      <c r="B178" s="129"/>
      <c r="C178" s="129">
        <v>5</v>
      </c>
      <c r="D178" s="130" t="s">
        <v>1796</v>
      </c>
      <c r="E178" s="131"/>
      <c r="F178" s="131"/>
      <c r="G178" s="131"/>
      <c r="H178" s="131"/>
      <c r="I178" s="131" t="s">
        <v>1647</v>
      </c>
      <c r="J178" s="131"/>
      <c r="K178" s="131"/>
      <c r="L178" s="131"/>
      <c r="M178" s="131"/>
      <c r="N178" s="131"/>
      <c r="O178" s="131"/>
      <c r="P178" s="132">
        <v>44368</v>
      </c>
      <c r="Q178" s="132">
        <v>44379</v>
      </c>
      <c r="R178" s="133"/>
      <c r="S178" s="134">
        <v>10</v>
      </c>
      <c r="T178" s="134">
        <v>0</v>
      </c>
      <c r="U178" s="134">
        <v>10</v>
      </c>
      <c r="V178" s="134">
        <v>0</v>
      </c>
      <c r="W178" s="132"/>
      <c r="X178" s="132"/>
      <c r="Y178" s="135"/>
      <c r="Z178" s="136">
        <v>0</v>
      </c>
      <c r="AA178" s="134"/>
      <c r="AB178" s="133" t="s">
        <v>1410</v>
      </c>
      <c r="AC178" s="137"/>
      <c r="AD178" s="138">
        <v>0</v>
      </c>
      <c r="AE178" s="165">
        <v>0</v>
      </c>
      <c r="AF178" s="139"/>
      <c r="AG178" s="140"/>
      <c r="AH178" s="140"/>
      <c r="AI178" s="140"/>
      <c r="AJ178" s="140"/>
      <c r="AK178" s="140"/>
      <c r="AL178" s="140"/>
      <c r="AM178" s="140"/>
      <c r="AN178" s="140"/>
      <c r="AO178" s="140"/>
      <c r="AP178" s="140"/>
      <c r="AQ178" s="140"/>
      <c r="AR178" s="140"/>
      <c r="AS178" s="140"/>
      <c r="AT178" s="140"/>
      <c r="AU178" s="140"/>
      <c r="AV178" s="140"/>
      <c r="AW178" s="140"/>
      <c r="AX178" s="140"/>
      <c r="AY178" s="140"/>
      <c r="AZ178" s="140"/>
      <c r="BA178" s="140"/>
      <c r="BB178" s="140"/>
      <c r="BC178" s="140"/>
      <c r="BD178" s="140" t="str">
        <f>" " &amp; TEXT(AE178,"#0.00%") &amp; " " &amp; "DHT 기반 동적 NDN 노드 구성 방법 (국제) 2" &amp; "(신용윤)" &amp; " " &amp; IF(P178="","",TEXT(P178,"M/D-")) &amp; IF(Q178="","",TEXT(Q178,"M/D")) &amp; " "</f>
        <v xml:space="preserve"> 0.00% DHT 기반 동적 NDN 노드 구성 방법 (국제) 2(신용윤) 6/21-7/2 </v>
      </c>
      <c r="BE178" s="140"/>
      <c r="BF178" s="140"/>
      <c r="BG178" s="140"/>
      <c r="BH178" s="140"/>
      <c r="BI178" s="140"/>
      <c r="BJ178" s="140"/>
      <c r="BK178" s="140"/>
      <c r="BL178" s="140"/>
      <c r="BM178" s="140"/>
      <c r="BN178" s="140"/>
      <c r="BO178" s="140"/>
      <c r="BP178" s="140"/>
      <c r="BQ178" s="140"/>
      <c r="BR178" s="140"/>
      <c r="BS178" s="140"/>
      <c r="BT178" s="140"/>
      <c r="BU178" s="140"/>
      <c r="BV178" s="140"/>
      <c r="BW178" s="140"/>
      <c r="BX178" s="140"/>
      <c r="BY178" s="140"/>
      <c r="BZ178" s="140"/>
      <c r="CA178" s="140"/>
      <c r="CB178" s="140"/>
      <c r="CC178" s="140"/>
      <c r="CD178" s="140"/>
      <c r="CE178" s="140"/>
      <c r="CF178" s="140"/>
    </row>
    <row r="179" spans="1:84" ht="12" customHeight="1" outlineLevel="4">
      <c r="A179" s="129"/>
      <c r="B179" s="129"/>
      <c r="C179" s="129">
        <v>5</v>
      </c>
      <c r="D179" s="130" t="s">
        <v>1797</v>
      </c>
      <c r="E179" s="131"/>
      <c r="F179" s="131"/>
      <c r="G179" s="131"/>
      <c r="H179" s="131"/>
      <c r="I179" s="131" t="s">
        <v>1650</v>
      </c>
      <c r="J179" s="131"/>
      <c r="K179" s="131"/>
      <c r="L179" s="131"/>
      <c r="M179" s="131"/>
      <c r="N179" s="131"/>
      <c r="O179" s="131"/>
      <c r="P179" s="132">
        <v>44382</v>
      </c>
      <c r="Q179" s="132">
        <v>44393</v>
      </c>
      <c r="R179" s="133"/>
      <c r="S179" s="134">
        <v>10</v>
      </c>
      <c r="T179" s="134">
        <v>0</v>
      </c>
      <c r="U179" s="134">
        <v>10</v>
      </c>
      <c r="V179" s="134">
        <v>0</v>
      </c>
      <c r="W179" s="132"/>
      <c r="X179" s="132"/>
      <c r="Y179" s="135"/>
      <c r="Z179" s="136">
        <v>0</v>
      </c>
      <c r="AA179" s="134"/>
      <c r="AB179" s="133" t="s">
        <v>1410</v>
      </c>
      <c r="AC179" s="137"/>
      <c r="AD179" s="138">
        <v>0</v>
      </c>
      <c r="AE179" s="165">
        <v>0</v>
      </c>
      <c r="AF179" s="139"/>
      <c r="AG179" s="140"/>
      <c r="AH179" s="140"/>
      <c r="AI179" s="140"/>
      <c r="AJ179" s="140"/>
      <c r="AK179" s="140"/>
      <c r="AL179" s="140"/>
      <c r="AM179" s="140"/>
      <c r="AN179" s="140"/>
      <c r="AO179" s="140"/>
      <c r="AP179" s="140"/>
      <c r="AQ179" s="140"/>
      <c r="AR179" s="140"/>
      <c r="AS179" s="140"/>
      <c r="AT179" s="140"/>
      <c r="AU179" s="140"/>
      <c r="AV179" s="140"/>
      <c r="AW179" s="140"/>
      <c r="AX179" s="140"/>
      <c r="AY179" s="140"/>
      <c r="AZ179" s="140"/>
      <c r="BA179" s="140"/>
      <c r="BB179" s="140"/>
      <c r="BC179" s="140"/>
      <c r="BD179" s="140"/>
      <c r="BE179" s="140"/>
      <c r="BF179" s="140" t="str">
        <f>" " &amp; TEXT(AE179,"#0.00%") &amp; " " &amp; "DHT 기반 동적 NDN 노드 구성 방법 (국제) 3" &amp; "(신용윤)" &amp; " " &amp; IF(P179="","",TEXT(P179,"M/D-")) &amp; IF(Q179="","",TEXT(Q179,"M/D")) &amp; " "</f>
        <v xml:space="preserve"> 0.00% DHT 기반 동적 NDN 노드 구성 방법 (국제) 3(신용윤) 7/5-7/16 </v>
      </c>
      <c r="BG179" s="140"/>
      <c r="BH179" s="140"/>
      <c r="BI179" s="140"/>
      <c r="BJ179" s="140"/>
      <c r="BK179" s="140"/>
      <c r="BL179" s="140"/>
      <c r="BM179" s="140"/>
      <c r="BN179" s="140"/>
      <c r="BO179" s="140"/>
      <c r="BP179" s="140"/>
      <c r="BQ179" s="140"/>
      <c r="BR179" s="140"/>
      <c r="BS179" s="140"/>
      <c r="BT179" s="140"/>
      <c r="BU179" s="140"/>
      <c r="BV179" s="140"/>
      <c r="BW179" s="140"/>
      <c r="BX179" s="140"/>
      <c r="BY179" s="140"/>
      <c r="BZ179" s="140"/>
      <c r="CA179" s="140"/>
      <c r="CB179" s="140"/>
      <c r="CC179" s="140"/>
      <c r="CD179" s="140"/>
      <c r="CE179" s="140"/>
      <c r="CF179" s="140"/>
    </row>
    <row r="180" spans="1:84" ht="12" customHeight="1" outlineLevel="4">
      <c r="A180" s="129"/>
      <c r="B180" s="129"/>
      <c r="C180" s="129">
        <v>5</v>
      </c>
      <c r="D180" s="130" t="s">
        <v>1798</v>
      </c>
      <c r="E180" s="131"/>
      <c r="F180" s="131"/>
      <c r="G180" s="131"/>
      <c r="H180" s="131"/>
      <c r="I180" s="131" t="s">
        <v>1651</v>
      </c>
      <c r="J180" s="131"/>
      <c r="K180" s="131"/>
      <c r="L180" s="131"/>
      <c r="M180" s="131"/>
      <c r="N180" s="131"/>
      <c r="O180" s="131"/>
      <c r="P180" s="132">
        <v>44396</v>
      </c>
      <c r="Q180" s="132">
        <v>44407</v>
      </c>
      <c r="R180" s="133"/>
      <c r="S180" s="134">
        <v>10</v>
      </c>
      <c r="T180" s="134">
        <v>0</v>
      </c>
      <c r="U180" s="134">
        <v>10</v>
      </c>
      <c r="V180" s="134">
        <v>0</v>
      </c>
      <c r="W180" s="132"/>
      <c r="X180" s="132"/>
      <c r="Y180" s="135"/>
      <c r="Z180" s="136">
        <v>0</v>
      </c>
      <c r="AA180" s="134"/>
      <c r="AB180" s="133" t="s">
        <v>1410</v>
      </c>
      <c r="AC180" s="137"/>
      <c r="AD180" s="138">
        <v>0</v>
      </c>
      <c r="AE180" s="165">
        <v>0</v>
      </c>
      <c r="AF180" s="139"/>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c r="BH180" s="140" t="str">
        <f>" " &amp; TEXT(AE180,"#0.00%") &amp; " " &amp; "DHT 기반 동적 NDN 노드 구성 방법 (국제) 4" &amp; "(신용윤)" &amp; " " &amp; IF(P180="","",TEXT(P180,"M/D-")) &amp; IF(Q180="","",TEXT(Q180,"M/D")) &amp; " "</f>
        <v xml:space="preserve"> 0.00% DHT 기반 동적 NDN 노드 구성 방법 (국제) 4(신용윤) 7/19-7/30 </v>
      </c>
      <c r="BI180" s="140"/>
      <c r="BJ180" s="140"/>
      <c r="BK180" s="140"/>
      <c r="BL180" s="140"/>
      <c r="BM180" s="140"/>
      <c r="BN180" s="140"/>
      <c r="BO180" s="140"/>
      <c r="BP180" s="140"/>
      <c r="BQ180" s="140"/>
      <c r="BR180" s="140"/>
      <c r="BS180" s="140"/>
      <c r="BT180" s="140"/>
      <c r="BU180" s="140"/>
      <c r="BV180" s="140"/>
      <c r="BW180" s="140"/>
      <c r="BX180" s="140"/>
      <c r="BY180" s="140"/>
      <c r="BZ180" s="140"/>
      <c r="CA180" s="140"/>
      <c r="CB180" s="140"/>
      <c r="CC180" s="140"/>
      <c r="CD180" s="140"/>
      <c r="CE180" s="140"/>
      <c r="CF180" s="140"/>
    </row>
    <row r="181" spans="1:84" ht="12" customHeight="1" outlineLevel="4">
      <c r="A181" s="129"/>
      <c r="B181" s="129"/>
      <c r="C181" s="129">
        <v>5</v>
      </c>
      <c r="D181" s="130" t="s">
        <v>1799</v>
      </c>
      <c r="E181" s="131"/>
      <c r="F181" s="131"/>
      <c r="G181" s="131"/>
      <c r="H181" s="131"/>
      <c r="I181" s="131" t="s">
        <v>1648</v>
      </c>
      <c r="J181" s="131"/>
      <c r="K181" s="131"/>
      <c r="L181" s="131"/>
      <c r="M181" s="131"/>
      <c r="N181" s="131"/>
      <c r="O181" s="131"/>
      <c r="P181" s="132">
        <v>44354</v>
      </c>
      <c r="Q181" s="132">
        <v>44365</v>
      </c>
      <c r="R181" s="133"/>
      <c r="S181" s="134">
        <v>10</v>
      </c>
      <c r="T181" s="134">
        <v>0</v>
      </c>
      <c r="U181" s="134">
        <v>10</v>
      </c>
      <c r="V181" s="134">
        <v>0</v>
      </c>
      <c r="W181" s="132"/>
      <c r="X181" s="132"/>
      <c r="Y181" s="135"/>
      <c r="Z181" s="136">
        <v>0</v>
      </c>
      <c r="AA181" s="134"/>
      <c r="AB181" s="133" t="s">
        <v>1405</v>
      </c>
      <c r="AC181" s="137"/>
      <c r="AD181" s="138">
        <v>0</v>
      </c>
      <c r="AE181" s="165">
        <v>0</v>
      </c>
      <c r="AF181" s="139"/>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t="str">
        <f>" " &amp; TEXT(AE181,"#0.00%") &amp; " " &amp; "MerkleTree 기반 효율적 Signature 관리 기법 및 장치 (국제) 1" &amp; "(박세형)" &amp; " " &amp; IF(P181="","",TEXT(P181,"M/D-")) &amp; IF(Q181="","",TEXT(Q181,"M/D")) &amp; " "</f>
        <v xml:space="preserve"> 0.00% MerkleTree 기반 효율적 Signature 관리 기법 및 장치 (국제) 1(박세형) 6/7-6/18 </v>
      </c>
      <c r="BC181" s="140"/>
      <c r="BD181" s="140"/>
      <c r="BE181" s="140"/>
      <c r="BF181" s="140"/>
      <c r="BG181" s="140"/>
      <c r="BH181" s="140"/>
      <c r="BI181" s="140"/>
      <c r="BJ181" s="140"/>
      <c r="BK181" s="140"/>
      <c r="BL181" s="140"/>
      <c r="BM181" s="140"/>
      <c r="BN181" s="140"/>
      <c r="BO181" s="140"/>
      <c r="BP181" s="140"/>
      <c r="BQ181" s="140"/>
      <c r="BR181" s="140"/>
      <c r="BS181" s="140"/>
      <c r="BT181" s="140"/>
      <c r="BU181" s="140"/>
      <c r="BV181" s="140"/>
      <c r="BW181" s="140"/>
      <c r="BX181" s="140"/>
      <c r="BY181" s="140"/>
      <c r="BZ181" s="140"/>
      <c r="CA181" s="140"/>
      <c r="CB181" s="140"/>
      <c r="CC181" s="140"/>
      <c r="CD181" s="140"/>
      <c r="CE181" s="140"/>
      <c r="CF181" s="140"/>
    </row>
    <row r="182" spans="1:84" ht="12" customHeight="1" outlineLevel="4">
      <c r="A182" s="129"/>
      <c r="B182" s="129"/>
      <c r="C182" s="129">
        <v>5</v>
      </c>
      <c r="D182" s="130" t="s">
        <v>1800</v>
      </c>
      <c r="E182" s="131"/>
      <c r="F182" s="131"/>
      <c r="G182" s="131"/>
      <c r="H182" s="131"/>
      <c r="I182" s="131" t="s">
        <v>1649</v>
      </c>
      <c r="J182" s="131"/>
      <c r="K182" s="131"/>
      <c r="L182" s="131"/>
      <c r="M182" s="131"/>
      <c r="N182" s="131"/>
      <c r="O182" s="131"/>
      <c r="P182" s="132">
        <v>44368</v>
      </c>
      <c r="Q182" s="132">
        <v>44379</v>
      </c>
      <c r="R182" s="133"/>
      <c r="S182" s="134">
        <v>10</v>
      </c>
      <c r="T182" s="134">
        <v>0</v>
      </c>
      <c r="U182" s="134">
        <v>10</v>
      </c>
      <c r="V182" s="134">
        <v>0</v>
      </c>
      <c r="W182" s="132"/>
      <c r="X182" s="132"/>
      <c r="Y182" s="135"/>
      <c r="Z182" s="136">
        <v>0</v>
      </c>
      <c r="AA182" s="134"/>
      <c r="AB182" s="133" t="s">
        <v>1405</v>
      </c>
      <c r="AC182" s="137"/>
      <c r="AD182" s="138">
        <v>0</v>
      </c>
      <c r="AE182" s="165">
        <v>0</v>
      </c>
      <c r="AF182" s="139"/>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t="str">
        <f>" " &amp; TEXT(AE182,"#0.00%") &amp; " " &amp; "MerkleTree 기반 효율적 Signature 관리 기법 및 장치 (국제) 2" &amp; "(박세형)" &amp; " " &amp; IF(P182="","",TEXT(P182,"M/D-")) &amp; IF(Q182="","",TEXT(Q182,"M/D")) &amp; " "</f>
        <v xml:space="preserve"> 0.00% MerkleTree 기반 효율적 Signature 관리 기법 및 장치 (국제) 2(박세형) 6/21-7/2 </v>
      </c>
      <c r="BE182" s="140"/>
      <c r="BF182" s="140"/>
      <c r="BG182" s="140"/>
      <c r="BH182" s="140"/>
      <c r="BI182" s="140"/>
      <c r="BJ182" s="140"/>
      <c r="BK182" s="140"/>
      <c r="BL182" s="140"/>
      <c r="BM182" s="140"/>
      <c r="BN182" s="140"/>
      <c r="BO182" s="140"/>
      <c r="BP182" s="140"/>
      <c r="BQ182" s="140"/>
      <c r="BR182" s="140"/>
      <c r="BS182" s="140"/>
      <c r="BT182" s="140"/>
      <c r="BU182" s="140"/>
      <c r="BV182" s="140"/>
      <c r="BW182" s="140"/>
      <c r="BX182" s="140"/>
      <c r="BY182" s="140"/>
      <c r="BZ182" s="140"/>
      <c r="CA182" s="140"/>
      <c r="CB182" s="140"/>
      <c r="CC182" s="140"/>
      <c r="CD182" s="140"/>
      <c r="CE182" s="140"/>
      <c r="CF182" s="140"/>
    </row>
    <row r="183" spans="1:84" ht="12" customHeight="1" outlineLevel="4">
      <c r="A183" s="129"/>
      <c r="B183" s="129"/>
      <c r="C183" s="129">
        <v>5</v>
      </c>
      <c r="D183" s="130" t="s">
        <v>1801</v>
      </c>
      <c r="E183" s="131"/>
      <c r="F183" s="131"/>
      <c r="G183" s="131"/>
      <c r="H183" s="131"/>
      <c r="I183" s="131" t="s">
        <v>1652</v>
      </c>
      <c r="J183" s="131"/>
      <c r="K183" s="131"/>
      <c r="L183" s="131"/>
      <c r="M183" s="131"/>
      <c r="N183" s="131"/>
      <c r="O183" s="131"/>
      <c r="P183" s="132">
        <v>44382</v>
      </c>
      <c r="Q183" s="132">
        <v>44393</v>
      </c>
      <c r="R183" s="133"/>
      <c r="S183" s="134">
        <v>10</v>
      </c>
      <c r="T183" s="134">
        <v>0</v>
      </c>
      <c r="U183" s="134">
        <v>10</v>
      </c>
      <c r="V183" s="134">
        <v>0</v>
      </c>
      <c r="W183" s="132"/>
      <c r="X183" s="132"/>
      <c r="Y183" s="135"/>
      <c r="Z183" s="136">
        <v>0</v>
      </c>
      <c r="AA183" s="134"/>
      <c r="AB183" s="133" t="s">
        <v>1405</v>
      </c>
      <c r="AC183" s="137"/>
      <c r="AD183" s="138">
        <v>0</v>
      </c>
      <c r="AE183" s="165">
        <v>0</v>
      </c>
      <c r="AF183" s="139"/>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t="str">
        <f>" " &amp; TEXT(AE183,"#0.00%") &amp; " " &amp; "MerkleTree 기반 효율적 Signature 관리 기법 및 장치 (국제) 3" &amp; "(박세형)" &amp; " " &amp; IF(P183="","",TEXT(P183,"M/D-")) &amp; IF(Q183="","",TEXT(Q183,"M/D")) &amp; " "</f>
        <v xml:space="preserve"> 0.00% MerkleTree 기반 효율적 Signature 관리 기법 및 장치 (국제) 3(박세형) 7/5-7/16 </v>
      </c>
      <c r="BG183" s="140"/>
      <c r="BH183" s="140"/>
      <c r="BI183" s="140"/>
      <c r="BJ183" s="140"/>
      <c r="BK183" s="140"/>
      <c r="BL183" s="140"/>
      <c r="BM183" s="140"/>
      <c r="BN183" s="140"/>
      <c r="BO183" s="140"/>
      <c r="BP183" s="140"/>
      <c r="BQ183" s="140"/>
      <c r="BR183" s="140"/>
      <c r="BS183" s="140"/>
      <c r="BT183" s="140"/>
      <c r="BU183" s="140"/>
      <c r="BV183" s="140"/>
      <c r="BW183" s="140"/>
      <c r="BX183" s="140"/>
      <c r="BY183" s="140"/>
      <c r="BZ183" s="140"/>
      <c r="CA183" s="140"/>
      <c r="CB183" s="140"/>
      <c r="CC183" s="140"/>
      <c r="CD183" s="140"/>
      <c r="CE183" s="140"/>
      <c r="CF183" s="140"/>
    </row>
    <row r="184" spans="1:84" ht="12" customHeight="1" outlineLevel="4">
      <c r="A184" s="129"/>
      <c r="B184" s="129"/>
      <c r="C184" s="129">
        <v>5</v>
      </c>
      <c r="D184" s="130" t="s">
        <v>1802</v>
      </c>
      <c r="E184" s="131"/>
      <c r="F184" s="131"/>
      <c r="G184" s="131"/>
      <c r="H184" s="131"/>
      <c r="I184" s="131" t="s">
        <v>1653</v>
      </c>
      <c r="J184" s="131"/>
      <c r="K184" s="131"/>
      <c r="L184" s="131"/>
      <c r="M184" s="131"/>
      <c r="N184" s="131"/>
      <c r="O184" s="131"/>
      <c r="P184" s="132">
        <v>44396</v>
      </c>
      <c r="Q184" s="132">
        <v>44407</v>
      </c>
      <c r="R184" s="133"/>
      <c r="S184" s="134">
        <v>10</v>
      </c>
      <c r="T184" s="134">
        <v>0</v>
      </c>
      <c r="U184" s="134">
        <v>10</v>
      </c>
      <c r="V184" s="134">
        <v>0</v>
      </c>
      <c r="W184" s="132"/>
      <c r="X184" s="132"/>
      <c r="Y184" s="135"/>
      <c r="Z184" s="136">
        <v>0</v>
      </c>
      <c r="AA184" s="134"/>
      <c r="AB184" s="133" t="s">
        <v>1405</v>
      </c>
      <c r="AC184" s="137"/>
      <c r="AD184" s="138">
        <v>0</v>
      </c>
      <c r="AE184" s="165">
        <v>0</v>
      </c>
      <c r="AF184" s="139"/>
      <c r="AG184" s="140"/>
      <c r="AH184" s="140"/>
      <c r="AI184" s="140"/>
      <c r="AJ184" s="140"/>
      <c r="AK184" s="140"/>
      <c r="AL184" s="140"/>
      <c r="AM184" s="140"/>
      <c r="AN184" s="140"/>
      <c r="AO184" s="140"/>
      <c r="AP184" s="140"/>
      <c r="AQ184" s="140"/>
      <c r="AR184" s="140"/>
      <c r="AS184" s="140"/>
      <c r="AT184" s="140"/>
      <c r="AU184" s="140"/>
      <c r="AV184" s="140"/>
      <c r="AW184" s="140"/>
      <c r="AX184" s="140"/>
      <c r="AY184" s="140"/>
      <c r="AZ184" s="140"/>
      <c r="BA184" s="140"/>
      <c r="BB184" s="140"/>
      <c r="BC184" s="140"/>
      <c r="BD184" s="140"/>
      <c r="BE184" s="140"/>
      <c r="BF184" s="140"/>
      <c r="BG184" s="140"/>
      <c r="BH184" s="140" t="str">
        <f>" " &amp; TEXT(AE184,"#0.00%") &amp; " " &amp; "MerkleTree 기반 효율적 Signature 관리 기법 및 장치 (국제) 4" &amp; "(박세형)" &amp; " " &amp; IF(P184="","",TEXT(P184,"M/D-")) &amp; IF(Q184="","",TEXT(Q184,"M/D")) &amp; " "</f>
        <v xml:space="preserve"> 0.00% MerkleTree 기반 효율적 Signature 관리 기법 및 장치 (국제) 4(박세형) 7/19-7/30 </v>
      </c>
      <c r="BI184" s="140"/>
      <c r="BJ184" s="140"/>
      <c r="BK184" s="140"/>
      <c r="BL184" s="140"/>
      <c r="BM184" s="140"/>
      <c r="BN184" s="140"/>
      <c r="BO184" s="140"/>
      <c r="BP184" s="140"/>
      <c r="BQ184" s="140"/>
      <c r="BR184" s="140"/>
      <c r="BS184" s="140"/>
      <c r="BT184" s="140"/>
      <c r="BU184" s="140"/>
      <c r="BV184" s="140"/>
      <c r="BW184" s="140"/>
      <c r="BX184" s="140"/>
      <c r="BY184" s="140"/>
      <c r="BZ184" s="140"/>
      <c r="CA184" s="140"/>
      <c r="CB184" s="140"/>
      <c r="CC184" s="140"/>
      <c r="CD184" s="140"/>
      <c r="CE184" s="140"/>
      <c r="CF184" s="140"/>
    </row>
    <row r="185" spans="1:84" ht="12" customHeight="1">
      <c r="A185" s="143"/>
      <c r="B185" s="143"/>
      <c r="C185" s="143"/>
      <c r="D185" s="144"/>
      <c r="E185" s="145"/>
      <c r="F185" s="145"/>
      <c r="G185" s="145"/>
      <c r="H185" s="145"/>
      <c r="I185" s="145"/>
      <c r="J185" s="145"/>
      <c r="K185" s="145"/>
      <c r="L185" s="145"/>
      <c r="M185" s="145"/>
      <c r="N185" s="145"/>
      <c r="O185" s="145"/>
      <c r="P185" s="146"/>
      <c r="Q185" s="146"/>
      <c r="R185" s="147"/>
      <c r="S185" s="148"/>
      <c r="T185" s="148"/>
      <c r="U185" s="148"/>
      <c r="V185" s="148"/>
      <c r="W185" s="146"/>
      <c r="X185" s="146"/>
      <c r="Y185" s="149"/>
      <c r="Z185" s="150"/>
      <c r="AA185" s="148"/>
      <c r="AB185" s="147"/>
      <c r="AC185" s="151"/>
      <c r="AD185" s="152"/>
      <c r="AE185" s="153"/>
      <c r="AF185" s="141"/>
      <c r="AG185" s="141"/>
      <c r="AH185" s="141"/>
      <c r="AI185" s="141"/>
      <c r="AJ185" s="141"/>
      <c r="AK185" s="141"/>
      <c r="AL185" s="141"/>
      <c r="AM185" s="141"/>
      <c r="AN185" s="141"/>
      <c r="AO185" s="141"/>
      <c r="AP185" s="141"/>
      <c r="AQ185" s="141"/>
      <c r="AR185" s="141"/>
      <c r="AS185" s="141"/>
      <c r="AT185" s="141"/>
      <c r="AU185" s="141"/>
      <c r="AV185" s="141"/>
      <c r="AW185" s="141"/>
      <c r="AX185" s="141"/>
      <c r="AY185" s="141"/>
      <c r="AZ185" s="141"/>
      <c r="BA185" s="141"/>
      <c r="BB185" s="141"/>
      <c r="BC185" s="141"/>
      <c r="BD185" s="141"/>
      <c r="BE185" s="141"/>
      <c r="BF185" s="141"/>
      <c r="BG185" s="141"/>
      <c r="BH185" s="141"/>
      <c r="BI185" s="141"/>
      <c r="BJ185" s="141"/>
      <c r="BK185" s="141"/>
      <c r="BL185" s="141"/>
      <c r="BM185" s="141"/>
      <c r="BN185" s="141"/>
      <c r="BO185" s="141"/>
      <c r="BP185" s="141"/>
      <c r="BQ185" s="141"/>
      <c r="BR185" s="141"/>
      <c r="BS185" s="141"/>
      <c r="BT185" s="141"/>
      <c r="BU185" s="141"/>
      <c r="BV185" s="141"/>
      <c r="BW185" s="141"/>
      <c r="BX185" s="141"/>
      <c r="BY185" s="141"/>
      <c r="BZ185" s="141"/>
      <c r="CA185" s="141"/>
      <c r="CB185" s="141"/>
      <c r="CC185" s="141"/>
      <c r="CD185" s="141"/>
      <c r="CE185" s="141"/>
      <c r="CF185" s="141"/>
    </row>
  </sheetData>
  <sheetProtection formatCells="0" formatColumns="0" formatRows="0" insertColumns="0" insertRows="0" insertHyperlinks="0" deleteColumns="0" deleteRows="0" sort="0" autoFilter="0" pivotTables="0"/>
  <dataConsolidate/>
  <mergeCells count="49">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 ref="AC3:AC4"/>
    <mergeCell ref="AE3:AE4"/>
    <mergeCell ref="AD3:AD4"/>
    <mergeCell ref="AB3:AB4"/>
    <mergeCell ref="A3:A4"/>
    <mergeCell ref="B3:B4"/>
    <mergeCell ref="C3:C4"/>
    <mergeCell ref="D3:D4"/>
    <mergeCell ref="E3:N4"/>
    <mergeCell ref="AZ3:BC3"/>
    <mergeCell ref="AZ2:BC2"/>
    <mergeCell ref="AJ3:AM3"/>
    <mergeCell ref="AJ2:AM2"/>
    <mergeCell ref="AN3:AQ3"/>
    <mergeCell ref="AN2:AQ2"/>
    <mergeCell ref="AR3:AU3"/>
    <mergeCell ref="AR2:AU2"/>
    <mergeCell ref="AV3:AY3"/>
    <mergeCell ref="AV2:AY2"/>
    <mergeCell ref="BD3:BG3"/>
    <mergeCell ref="BD2:BG2"/>
    <mergeCell ref="BH3:BK3"/>
    <mergeCell ref="BH2:BK2"/>
    <mergeCell ref="BL3:BO3"/>
    <mergeCell ref="BL2:BO2"/>
    <mergeCell ref="CB3:CE3"/>
    <mergeCell ref="CB2:CE2"/>
    <mergeCell ref="BP3:BS3"/>
    <mergeCell ref="BP2:BS2"/>
    <mergeCell ref="BT3:BW3"/>
    <mergeCell ref="BT2:BW2"/>
    <mergeCell ref="BX3:CA3"/>
    <mergeCell ref="BX2:CA2"/>
  </mergeCells>
  <phoneticPr fontId="4" type="noConversion"/>
  <conditionalFormatting sqref="D5:AD184">
    <cfRule type="expression" dxfId="1" priority="2">
      <formula>($B5="G")</formula>
    </cfRule>
    <cfRule type="expression" dxfId="0" priority="1">
      <formula>($AE5=1)</formula>
    </cfRule>
  </conditionalFormatting>
  <hyperlinks>
    <hyperlink ref="AF1:BJ1" r:id="rId1" display="https://xlworks.net/xlgantt-project-scheduler/" xr:uid="{6C02CF9A-863C-4DD1-AC04-F29CB6AB4733}"/>
  </hyperlinks>
  <pageMargins left="0.19685039370078741" right="0.23622047244094491" top="0.43307086614173229" bottom="0.23622047244094491" header="0.23622047244094491" footer="0.19685039370078741"/>
  <pageSetup paperSize="8" scale="35"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1348</v>
      </c>
      <c r="B1" s="2"/>
      <c r="C1" s="2"/>
      <c r="D1" s="2"/>
      <c r="E1" s="2"/>
      <c r="F1" s="2"/>
      <c r="G1" s="2"/>
      <c r="H1" s="2"/>
      <c r="I1" s="2"/>
      <c r="J1" s="2"/>
      <c r="K1" s="2"/>
      <c r="L1" s="310"/>
      <c r="M1" s="311"/>
      <c r="N1" s="311"/>
      <c r="O1" s="3"/>
      <c r="P1" s="3"/>
      <c r="Q1" s="3"/>
    </row>
    <row r="2" spans="1:17" s="7" customFormat="1" ht="12.75">
      <c r="A2" s="5" t="s">
        <v>1296</v>
      </c>
      <c r="B2" s="6"/>
    </row>
    <row r="3" spans="1:17" s="7" customFormat="1" ht="12.75">
      <c r="A3" s="5" t="s">
        <v>1297</v>
      </c>
      <c r="B3" s="6"/>
    </row>
    <row r="4" spans="1:17" s="7" customFormat="1" ht="12.75">
      <c r="A4" s="312"/>
      <c r="B4" s="312"/>
      <c r="C4" s="8"/>
      <c r="D4" s="9"/>
      <c r="E4" s="9"/>
      <c r="F4" s="9"/>
    </row>
    <row r="5" spans="1:17" s="15" customFormat="1" ht="12.75">
      <c r="A5" s="10"/>
      <c r="B5" s="11"/>
      <c r="C5" s="12"/>
      <c r="D5" s="13"/>
      <c r="E5" s="14"/>
      <c r="F5" s="14"/>
      <c r="G5" s="14"/>
    </row>
    <row r="6" spans="1:17" s="15" customFormat="1" ht="12.75">
      <c r="A6" s="16" t="s">
        <v>1298</v>
      </c>
      <c r="B6" s="17">
        <v>1392</v>
      </c>
      <c r="C6" s="15" t="s">
        <v>0</v>
      </c>
      <c r="D6" s="309" t="s">
        <v>1299</v>
      </c>
      <c r="E6" s="309"/>
      <c r="F6" s="309"/>
      <c r="G6" s="30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1300</v>
      </c>
      <c r="B9" s="17">
        <v>84</v>
      </c>
      <c r="C9" s="15" t="s">
        <v>0</v>
      </c>
      <c r="D9" s="308" t="s">
        <v>1301</v>
      </c>
      <c r="E9" s="308"/>
      <c r="F9" s="308"/>
      <c r="G9" s="30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1294</v>
      </c>
      <c r="B12" s="17">
        <v>0</v>
      </c>
      <c r="C12" s="15" t="s">
        <v>0</v>
      </c>
      <c r="D12" s="313" t="s">
        <v>1295</v>
      </c>
      <c r="E12" s="308"/>
      <c r="F12" s="308"/>
      <c r="G12" s="30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1302</v>
      </c>
      <c r="B15" s="17"/>
      <c r="C15" s="15" t="s">
        <v>0</v>
      </c>
      <c r="D15" s="308" t="s">
        <v>1303</v>
      </c>
      <c r="E15" s="308"/>
      <c r="F15" s="308"/>
      <c r="G15" s="30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1304</v>
      </c>
      <c r="B18" s="39">
        <v>6.0344827586206899E-2</v>
      </c>
      <c r="D18" s="308" t="s">
        <v>1305</v>
      </c>
      <c r="E18" s="308"/>
      <c r="F18" s="308"/>
      <c r="G18" s="30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1306</v>
      </c>
      <c r="B21" s="39">
        <v>0</v>
      </c>
      <c r="D21" s="308" t="s">
        <v>1307</v>
      </c>
      <c r="E21" s="308"/>
      <c r="F21" s="308"/>
      <c r="G21" s="30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1308</v>
      </c>
      <c r="B24" s="49">
        <f>ACTUAL_RATE-PLANNED_RATE</f>
        <v>-6.0344827586206899E-2</v>
      </c>
      <c r="D24" s="309" t="s">
        <v>1309</v>
      </c>
      <c r="E24" s="309"/>
      <c r="F24" s="309"/>
      <c r="G24" s="30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8"/>
  <sheetViews>
    <sheetView showGridLines="0" zoomScale="80" zoomScaleNormal="80" workbookViewId="0">
      <pane ySplit="6" topLeftCell="A7" activePane="bottomLeft" state="frozen"/>
      <selection pane="bottomLeft" activeCell="O20" sqref="O20"/>
    </sheetView>
  </sheetViews>
  <sheetFormatPr defaultColWidth="9.125" defaultRowHeight="15" outlineLevelRow="2"/>
  <cols>
    <col min="1" max="1" width="20.625" style="124" customWidth="1"/>
    <col min="2" max="2" width="8.125" style="124" bestFit="1" customWidth="1"/>
    <col min="3" max="3" width="56.5" style="124" bestFit="1" customWidth="1"/>
    <col min="4" max="5" width="10.625" style="124" bestFit="1" customWidth="1"/>
    <col min="6" max="6" width="9" style="205" bestFit="1" customWidth="1"/>
    <col min="7" max="9" width="9.25" style="90" bestFit="1" customWidth="1"/>
    <col min="10" max="10" width="7.5" style="90" bestFit="1" customWidth="1"/>
    <col min="11" max="11" width="6.5" style="90" bestFit="1" customWidth="1"/>
    <col min="12" max="12" width="8.75" style="90" bestFit="1" customWidth="1"/>
    <col min="13" max="16384" width="9.125" style="124"/>
  </cols>
  <sheetData>
    <row r="1" spans="1:12" ht="36.950000000000003" customHeight="1">
      <c r="A1" s="62" t="s">
        <v>1483</v>
      </c>
    </row>
    <row r="2" spans="1:12">
      <c r="A2" s="124" t="s">
        <v>602</v>
      </c>
    </row>
    <row r="3" spans="1:12">
      <c r="A3" s="124" t="s">
        <v>605</v>
      </c>
    </row>
    <row r="6" spans="1:12" ht="45">
      <c r="A6" s="63" t="s">
        <v>1219</v>
      </c>
      <c r="B6" s="89" t="s">
        <v>341</v>
      </c>
      <c r="C6" s="89" t="s">
        <v>1220</v>
      </c>
      <c r="D6" s="89" t="s">
        <v>554</v>
      </c>
      <c r="E6" s="89" t="s">
        <v>555</v>
      </c>
      <c r="F6" s="241" t="s">
        <v>1484</v>
      </c>
      <c r="G6" s="242" t="s">
        <v>1485</v>
      </c>
      <c r="H6" s="242" t="s">
        <v>1486</v>
      </c>
      <c r="I6" s="242" t="s">
        <v>1487</v>
      </c>
      <c r="J6" s="242" t="s">
        <v>768</v>
      </c>
      <c r="K6" s="242" t="s">
        <v>598</v>
      </c>
      <c r="L6" s="243" t="s">
        <v>912</v>
      </c>
    </row>
    <row r="7" spans="1:12" outlineLevel="2">
      <c r="A7" s="244" t="s">
        <v>1405</v>
      </c>
      <c r="B7" s="245" t="s">
        <v>1402</v>
      </c>
      <c r="C7" s="244" t="s">
        <v>1390</v>
      </c>
      <c r="D7" s="246">
        <v>44197</v>
      </c>
      <c r="E7" s="246">
        <v>44255</v>
      </c>
      <c r="F7" s="205">
        <v>1</v>
      </c>
      <c r="G7" s="90">
        <v>38</v>
      </c>
      <c r="H7" s="90">
        <v>18</v>
      </c>
      <c r="I7" s="90">
        <v>0</v>
      </c>
      <c r="J7" s="205">
        <v>0.47368421052631576</v>
      </c>
      <c r="K7" s="205">
        <v>0</v>
      </c>
      <c r="L7" s="255">
        <f t="shared" ref="L7:L38" si="0">K7-J7</f>
        <v>-0.47368421052631576</v>
      </c>
    </row>
    <row r="8" spans="1:12" outlineLevel="2">
      <c r="A8" s="244" t="s">
        <v>1405</v>
      </c>
      <c r="B8" s="245" t="s">
        <v>1238</v>
      </c>
      <c r="C8" s="244" t="s">
        <v>1393</v>
      </c>
      <c r="D8" s="246">
        <v>44256</v>
      </c>
      <c r="E8" s="246">
        <v>44286</v>
      </c>
      <c r="F8" s="205">
        <v>1</v>
      </c>
      <c r="G8" s="90">
        <v>22</v>
      </c>
      <c r="H8" s="90">
        <v>0</v>
      </c>
      <c r="I8" s="90">
        <v>0</v>
      </c>
      <c r="J8" s="205">
        <v>0</v>
      </c>
      <c r="K8" s="205">
        <v>0</v>
      </c>
      <c r="L8" s="205">
        <f t="shared" si="0"/>
        <v>0</v>
      </c>
    </row>
    <row r="9" spans="1:12" outlineLevel="2">
      <c r="A9" s="244" t="s">
        <v>1405</v>
      </c>
      <c r="B9" s="245" t="s">
        <v>1239</v>
      </c>
      <c r="C9" s="244" t="s">
        <v>1394</v>
      </c>
      <c r="D9" s="246">
        <v>44287</v>
      </c>
      <c r="E9" s="246">
        <v>44316</v>
      </c>
      <c r="F9" s="205">
        <v>0</v>
      </c>
      <c r="G9" s="90">
        <v>0</v>
      </c>
      <c r="H9" s="90">
        <v>0</v>
      </c>
      <c r="I9" s="90">
        <v>0</v>
      </c>
      <c r="J9" s="205">
        <v>0</v>
      </c>
      <c r="K9" s="205">
        <v>0</v>
      </c>
      <c r="L9" s="205">
        <f t="shared" si="0"/>
        <v>0</v>
      </c>
    </row>
    <row r="10" spans="1:12" outlineLevel="2">
      <c r="A10" s="244" t="s">
        <v>1405</v>
      </c>
      <c r="B10" s="245" t="s">
        <v>1413</v>
      </c>
      <c r="C10" s="244" t="s">
        <v>1412</v>
      </c>
      <c r="D10" s="246">
        <v>44501</v>
      </c>
      <c r="E10" s="246">
        <v>44530</v>
      </c>
      <c r="F10" s="205">
        <v>1</v>
      </c>
      <c r="G10" s="90">
        <v>22</v>
      </c>
      <c r="H10" s="90">
        <v>0</v>
      </c>
      <c r="I10" s="90">
        <v>0</v>
      </c>
      <c r="J10" s="205">
        <v>0</v>
      </c>
      <c r="K10" s="205">
        <v>0</v>
      </c>
      <c r="L10" s="205">
        <f t="shared" si="0"/>
        <v>0</v>
      </c>
    </row>
    <row r="11" spans="1:12" outlineLevel="2">
      <c r="A11" s="244" t="s">
        <v>1405</v>
      </c>
      <c r="B11" s="245" t="s">
        <v>1428</v>
      </c>
      <c r="C11" s="244" t="s">
        <v>1393</v>
      </c>
      <c r="D11" s="246">
        <v>44197</v>
      </c>
      <c r="E11" s="246">
        <v>44255</v>
      </c>
      <c r="F11" s="205">
        <v>1</v>
      </c>
      <c r="G11" s="90">
        <v>38</v>
      </c>
      <c r="H11" s="90">
        <v>18</v>
      </c>
      <c r="I11" s="90">
        <v>0</v>
      </c>
      <c r="J11" s="205">
        <v>0.47368421052631576</v>
      </c>
      <c r="K11" s="205">
        <v>0</v>
      </c>
      <c r="L11" s="255">
        <f t="shared" si="0"/>
        <v>-0.47368421052631576</v>
      </c>
    </row>
    <row r="12" spans="1:12" outlineLevel="2">
      <c r="A12" s="244" t="s">
        <v>1405</v>
      </c>
      <c r="B12" s="245" t="s">
        <v>1429</v>
      </c>
      <c r="C12" s="244" t="s">
        <v>1435</v>
      </c>
      <c r="D12" s="246">
        <v>44256</v>
      </c>
      <c r="E12" s="246">
        <v>44286</v>
      </c>
      <c r="F12" s="205">
        <v>1</v>
      </c>
      <c r="G12" s="90">
        <v>22</v>
      </c>
      <c r="H12" s="90">
        <v>0</v>
      </c>
      <c r="I12" s="90">
        <v>0</v>
      </c>
      <c r="J12" s="205">
        <v>0</v>
      </c>
      <c r="K12" s="205">
        <v>0</v>
      </c>
      <c r="L12" s="205">
        <f t="shared" si="0"/>
        <v>0</v>
      </c>
    </row>
    <row r="13" spans="1:12" outlineLevel="2">
      <c r="A13" s="244" t="s">
        <v>1405</v>
      </c>
      <c r="B13" s="245" t="s">
        <v>1430</v>
      </c>
      <c r="C13" s="244" t="s">
        <v>1424</v>
      </c>
      <c r="D13" s="246">
        <v>44287</v>
      </c>
      <c r="E13" s="246">
        <v>44377</v>
      </c>
      <c r="F13" s="205">
        <v>1</v>
      </c>
      <c r="G13" s="90">
        <v>63</v>
      </c>
      <c r="H13" s="90">
        <v>0</v>
      </c>
      <c r="I13" s="90">
        <v>0</v>
      </c>
      <c r="J13" s="205">
        <v>0</v>
      </c>
      <c r="K13" s="205">
        <v>0</v>
      </c>
      <c r="L13" s="205">
        <f t="shared" si="0"/>
        <v>0</v>
      </c>
    </row>
    <row r="14" spans="1:12" outlineLevel="2">
      <c r="A14" s="244" t="s">
        <v>1405</v>
      </c>
      <c r="B14" s="245" t="s">
        <v>1481</v>
      </c>
      <c r="C14" s="244" t="s">
        <v>1479</v>
      </c>
      <c r="D14" s="246">
        <v>44287</v>
      </c>
      <c r="E14" s="246">
        <v>44377</v>
      </c>
      <c r="F14" s="205">
        <v>1</v>
      </c>
      <c r="G14" s="90">
        <v>63</v>
      </c>
      <c r="H14" s="90">
        <v>0</v>
      </c>
      <c r="I14" s="90">
        <v>0</v>
      </c>
      <c r="J14" s="205">
        <v>0</v>
      </c>
      <c r="K14" s="205">
        <v>0</v>
      </c>
      <c r="L14" s="205">
        <f t="shared" si="0"/>
        <v>0</v>
      </c>
    </row>
    <row r="15" spans="1:12" outlineLevel="2">
      <c r="A15" s="244" t="s">
        <v>1405</v>
      </c>
      <c r="B15" s="245" t="s">
        <v>1482</v>
      </c>
      <c r="C15" s="244" t="s">
        <v>1480</v>
      </c>
      <c r="D15" s="246">
        <v>44287</v>
      </c>
      <c r="E15" s="246">
        <v>44377</v>
      </c>
      <c r="F15" s="205">
        <v>1</v>
      </c>
      <c r="G15" s="90">
        <v>63</v>
      </c>
      <c r="H15" s="90">
        <v>0</v>
      </c>
      <c r="I15" s="90">
        <v>0</v>
      </c>
      <c r="J15" s="205">
        <v>0</v>
      </c>
      <c r="K15" s="205">
        <v>0</v>
      </c>
      <c r="L15" s="205">
        <f t="shared" si="0"/>
        <v>0</v>
      </c>
    </row>
    <row r="16" spans="1:12" outlineLevel="2">
      <c r="A16" s="244" t="s">
        <v>1405</v>
      </c>
      <c r="B16" s="245" t="s">
        <v>1431</v>
      </c>
      <c r="C16" s="244" t="s">
        <v>1423</v>
      </c>
      <c r="D16" s="246">
        <v>44378</v>
      </c>
      <c r="E16" s="246">
        <v>44408</v>
      </c>
      <c r="F16" s="205">
        <v>1</v>
      </c>
      <c r="G16" s="90">
        <v>22</v>
      </c>
      <c r="H16" s="90">
        <v>0</v>
      </c>
      <c r="I16" s="90">
        <v>0</v>
      </c>
      <c r="J16" s="205">
        <v>0</v>
      </c>
      <c r="K16" s="205">
        <v>0</v>
      </c>
      <c r="L16" s="205">
        <f t="shared" si="0"/>
        <v>0</v>
      </c>
    </row>
    <row r="17" spans="1:12" outlineLevel="2">
      <c r="A17" s="244" t="s">
        <v>1405</v>
      </c>
      <c r="B17" s="245" t="s">
        <v>1419</v>
      </c>
      <c r="C17" s="244" t="s">
        <v>1412</v>
      </c>
      <c r="D17" s="246">
        <v>44409</v>
      </c>
      <c r="E17" s="246">
        <v>44530</v>
      </c>
      <c r="F17" s="205">
        <v>1</v>
      </c>
      <c r="G17" s="90">
        <v>84</v>
      </c>
      <c r="H17" s="90">
        <v>0</v>
      </c>
      <c r="I17" s="90">
        <v>0</v>
      </c>
      <c r="J17" s="205">
        <v>0</v>
      </c>
      <c r="K17" s="205">
        <v>0</v>
      </c>
      <c r="L17" s="205">
        <f t="shared" si="0"/>
        <v>0</v>
      </c>
    </row>
    <row r="18" spans="1:12" outlineLevel="2">
      <c r="A18" s="244" t="s">
        <v>1405</v>
      </c>
      <c r="B18" s="245" t="s">
        <v>1420</v>
      </c>
      <c r="C18" s="244" t="s">
        <v>1415</v>
      </c>
      <c r="D18" s="246">
        <v>44501</v>
      </c>
      <c r="E18" s="246">
        <v>44561</v>
      </c>
      <c r="F18" s="205">
        <v>1</v>
      </c>
      <c r="G18" s="90">
        <v>45</v>
      </c>
      <c r="H18" s="90">
        <v>0</v>
      </c>
      <c r="I18" s="90">
        <v>0</v>
      </c>
      <c r="J18" s="205">
        <v>0</v>
      </c>
      <c r="K18" s="205">
        <v>0</v>
      </c>
      <c r="L18" s="205">
        <f t="shared" si="0"/>
        <v>0</v>
      </c>
    </row>
    <row r="19" spans="1:12" outlineLevel="2">
      <c r="A19" s="244" t="s">
        <v>1405</v>
      </c>
      <c r="B19" s="245" t="s">
        <v>1432</v>
      </c>
      <c r="C19" s="244" t="s">
        <v>1421</v>
      </c>
      <c r="D19" s="246">
        <v>44348</v>
      </c>
      <c r="E19" s="246">
        <v>44377</v>
      </c>
      <c r="F19" s="205">
        <v>1</v>
      </c>
      <c r="G19" s="90">
        <v>22</v>
      </c>
      <c r="H19" s="90">
        <v>0</v>
      </c>
      <c r="I19" s="90">
        <v>0</v>
      </c>
      <c r="J19" s="205">
        <v>0</v>
      </c>
      <c r="K19" s="205">
        <v>0</v>
      </c>
      <c r="L19" s="205">
        <f t="shared" si="0"/>
        <v>0</v>
      </c>
    </row>
    <row r="20" spans="1:12" outlineLevel="2">
      <c r="A20" s="244" t="s">
        <v>1405</v>
      </c>
      <c r="B20" s="245" t="s">
        <v>1439</v>
      </c>
      <c r="C20" s="244" t="s">
        <v>1436</v>
      </c>
      <c r="D20" s="246">
        <v>44197</v>
      </c>
      <c r="E20" s="246">
        <v>44255</v>
      </c>
      <c r="F20" s="205">
        <v>1</v>
      </c>
      <c r="G20" s="90">
        <v>38</v>
      </c>
      <c r="H20" s="90">
        <v>18</v>
      </c>
      <c r="I20" s="90">
        <v>0</v>
      </c>
      <c r="J20" s="205">
        <v>0.47368421052631576</v>
      </c>
      <c r="K20" s="205">
        <v>0</v>
      </c>
      <c r="L20" s="255">
        <f t="shared" si="0"/>
        <v>-0.47368421052631576</v>
      </c>
    </row>
    <row r="21" spans="1:12" outlineLevel="2">
      <c r="A21" s="244" t="s">
        <v>1405</v>
      </c>
      <c r="B21" s="245" t="s">
        <v>1440</v>
      </c>
      <c r="C21" s="244" t="s">
        <v>1438</v>
      </c>
      <c r="D21" s="246">
        <v>44256</v>
      </c>
      <c r="E21" s="246">
        <v>44286</v>
      </c>
      <c r="F21" s="205">
        <v>1</v>
      </c>
      <c r="G21" s="90">
        <v>22</v>
      </c>
      <c r="H21" s="90">
        <v>0</v>
      </c>
      <c r="I21" s="90">
        <v>0</v>
      </c>
      <c r="J21" s="205">
        <v>0</v>
      </c>
      <c r="K21" s="205">
        <v>0</v>
      </c>
      <c r="L21" s="205">
        <f t="shared" si="0"/>
        <v>0</v>
      </c>
    </row>
    <row r="22" spans="1:12" outlineLevel="2">
      <c r="A22" s="244" t="s">
        <v>1405</v>
      </c>
      <c r="B22" s="245" t="s">
        <v>1240</v>
      </c>
      <c r="C22" s="244" t="s">
        <v>1442</v>
      </c>
      <c r="D22" s="246">
        <v>44287</v>
      </c>
      <c r="E22" s="246">
        <v>44316</v>
      </c>
      <c r="F22" s="205">
        <v>1</v>
      </c>
      <c r="G22" s="90">
        <v>22</v>
      </c>
      <c r="H22" s="90">
        <v>0</v>
      </c>
      <c r="I22" s="90">
        <v>0</v>
      </c>
      <c r="J22" s="205">
        <v>0</v>
      </c>
      <c r="K22" s="205">
        <v>0</v>
      </c>
      <c r="L22" s="205">
        <f t="shared" si="0"/>
        <v>0</v>
      </c>
    </row>
    <row r="23" spans="1:12" outlineLevel="2">
      <c r="A23" s="244" t="s">
        <v>1405</v>
      </c>
      <c r="B23" s="245" t="s">
        <v>1241</v>
      </c>
      <c r="C23" s="244" t="s">
        <v>1443</v>
      </c>
      <c r="D23" s="246">
        <v>44317</v>
      </c>
      <c r="E23" s="246">
        <v>44347</v>
      </c>
      <c r="F23" s="205">
        <v>1</v>
      </c>
      <c r="G23" s="90">
        <v>19</v>
      </c>
      <c r="H23" s="90">
        <v>0</v>
      </c>
      <c r="I23" s="90">
        <v>0</v>
      </c>
      <c r="J23" s="205">
        <v>0</v>
      </c>
      <c r="K23" s="205">
        <v>0</v>
      </c>
      <c r="L23" s="205">
        <f t="shared" si="0"/>
        <v>0</v>
      </c>
    </row>
    <row r="24" spans="1:12" outlineLevel="2">
      <c r="A24" s="244" t="s">
        <v>1405</v>
      </c>
      <c r="B24" s="245" t="s">
        <v>1450</v>
      </c>
      <c r="C24" s="244" t="s">
        <v>1444</v>
      </c>
      <c r="D24" s="246">
        <v>44348</v>
      </c>
      <c r="E24" s="246">
        <v>44377</v>
      </c>
      <c r="F24" s="205">
        <v>1</v>
      </c>
      <c r="G24" s="90">
        <v>22</v>
      </c>
      <c r="H24" s="90">
        <v>0</v>
      </c>
      <c r="I24" s="90">
        <v>0</v>
      </c>
      <c r="J24" s="205">
        <v>0</v>
      </c>
      <c r="K24" s="205">
        <v>0</v>
      </c>
      <c r="L24" s="205">
        <f t="shared" si="0"/>
        <v>0</v>
      </c>
    </row>
    <row r="25" spans="1:12" outlineLevel="2">
      <c r="A25" s="244" t="s">
        <v>1405</v>
      </c>
      <c r="B25" s="245" t="s">
        <v>1451</v>
      </c>
      <c r="C25" s="244" t="s">
        <v>1445</v>
      </c>
      <c r="D25" s="246">
        <v>44378</v>
      </c>
      <c r="E25" s="246">
        <v>44408</v>
      </c>
      <c r="F25" s="205">
        <v>1</v>
      </c>
      <c r="G25" s="90">
        <v>22</v>
      </c>
      <c r="H25" s="90">
        <v>0</v>
      </c>
      <c r="I25" s="90">
        <v>0</v>
      </c>
      <c r="J25" s="205">
        <v>0</v>
      </c>
      <c r="K25" s="205">
        <v>0</v>
      </c>
      <c r="L25" s="205">
        <f t="shared" si="0"/>
        <v>0</v>
      </c>
    </row>
    <row r="26" spans="1:12" outlineLevel="2">
      <c r="A26" s="244" t="s">
        <v>1405</v>
      </c>
      <c r="B26" s="245" t="s">
        <v>1452</v>
      </c>
      <c r="C26" s="244" t="s">
        <v>1446</v>
      </c>
      <c r="D26" s="246">
        <v>44409</v>
      </c>
      <c r="E26" s="246">
        <v>44439</v>
      </c>
      <c r="F26" s="205">
        <v>1</v>
      </c>
      <c r="G26" s="90">
        <v>22</v>
      </c>
      <c r="H26" s="90">
        <v>0</v>
      </c>
      <c r="I26" s="90">
        <v>0</v>
      </c>
      <c r="J26" s="205">
        <v>0</v>
      </c>
      <c r="K26" s="205">
        <v>0</v>
      </c>
      <c r="L26" s="205">
        <f t="shared" si="0"/>
        <v>0</v>
      </c>
    </row>
    <row r="27" spans="1:12" outlineLevel="2">
      <c r="A27" s="244" t="s">
        <v>1405</v>
      </c>
      <c r="B27" s="245" t="s">
        <v>1453</v>
      </c>
      <c r="C27" s="244" t="s">
        <v>1447</v>
      </c>
      <c r="D27" s="246">
        <v>44440</v>
      </c>
      <c r="E27" s="246">
        <v>44469</v>
      </c>
      <c r="F27" s="205">
        <v>1</v>
      </c>
      <c r="G27" s="90">
        <v>19</v>
      </c>
      <c r="H27" s="90">
        <v>0</v>
      </c>
      <c r="I27" s="90">
        <v>0</v>
      </c>
      <c r="J27" s="205">
        <v>0</v>
      </c>
      <c r="K27" s="205">
        <v>0</v>
      </c>
      <c r="L27" s="205">
        <f t="shared" si="0"/>
        <v>0</v>
      </c>
    </row>
    <row r="28" spans="1:12" outlineLevel="2">
      <c r="A28" s="244" t="s">
        <v>1405</v>
      </c>
      <c r="B28" s="245" t="s">
        <v>1454</v>
      </c>
      <c r="C28" s="244" t="s">
        <v>1448</v>
      </c>
      <c r="D28" s="246">
        <v>44470</v>
      </c>
      <c r="E28" s="246">
        <v>44500</v>
      </c>
      <c r="F28" s="205">
        <v>1</v>
      </c>
      <c r="G28" s="90">
        <v>21</v>
      </c>
      <c r="H28" s="90">
        <v>0</v>
      </c>
      <c r="I28" s="90">
        <v>0</v>
      </c>
      <c r="J28" s="205">
        <v>0</v>
      </c>
      <c r="K28" s="205">
        <v>0</v>
      </c>
      <c r="L28" s="205">
        <f t="shared" si="0"/>
        <v>0</v>
      </c>
    </row>
    <row r="29" spans="1:12" outlineLevel="2">
      <c r="A29" s="244" t="s">
        <v>1405</v>
      </c>
      <c r="B29" s="245" t="s">
        <v>1455</v>
      </c>
      <c r="C29" s="244" t="s">
        <v>1449</v>
      </c>
      <c r="D29" s="246">
        <v>44501</v>
      </c>
      <c r="E29" s="246">
        <v>44530</v>
      </c>
      <c r="F29" s="205">
        <v>1</v>
      </c>
      <c r="G29" s="90">
        <v>22</v>
      </c>
      <c r="H29" s="90">
        <v>0</v>
      </c>
      <c r="I29" s="90">
        <v>0</v>
      </c>
      <c r="J29" s="205">
        <v>0</v>
      </c>
      <c r="K29" s="205">
        <v>0</v>
      </c>
      <c r="L29" s="205">
        <f t="shared" si="0"/>
        <v>0</v>
      </c>
    </row>
    <row r="30" spans="1:12" outlineLevel="2">
      <c r="A30" s="244" t="s">
        <v>1405</v>
      </c>
      <c r="B30" s="245" t="s">
        <v>1463</v>
      </c>
      <c r="C30" s="244" t="s">
        <v>1457</v>
      </c>
      <c r="D30" s="246">
        <v>44409</v>
      </c>
      <c r="E30" s="246">
        <v>44439</v>
      </c>
      <c r="F30" s="205">
        <v>1</v>
      </c>
      <c r="G30" s="90">
        <v>22</v>
      </c>
      <c r="H30" s="90">
        <v>0</v>
      </c>
      <c r="I30" s="90">
        <v>0</v>
      </c>
      <c r="J30" s="205">
        <v>0</v>
      </c>
      <c r="K30" s="205">
        <v>0</v>
      </c>
      <c r="L30" s="205">
        <f t="shared" si="0"/>
        <v>0</v>
      </c>
    </row>
    <row r="31" spans="1:12" outlineLevel="2">
      <c r="A31" s="244" t="s">
        <v>1405</v>
      </c>
      <c r="B31" s="245" t="s">
        <v>1465</v>
      </c>
      <c r="C31" s="244" t="s">
        <v>1460</v>
      </c>
      <c r="D31" s="246">
        <v>44348</v>
      </c>
      <c r="E31" s="246">
        <v>44377</v>
      </c>
      <c r="F31" s="205">
        <v>1</v>
      </c>
      <c r="G31" s="90">
        <v>22</v>
      </c>
      <c r="H31" s="90">
        <v>0</v>
      </c>
      <c r="I31" s="90">
        <v>0</v>
      </c>
      <c r="J31" s="205">
        <v>0</v>
      </c>
      <c r="K31" s="205">
        <v>0</v>
      </c>
      <c r="L31" s="205">
        <f t="shared" si="0"/>
        <v>0</v>
      </c>
    </row>
    <row r="32" spans="1:12" outlineLevel="1">
      <c r="A32" s="247" t="s">
        <v>1488</v>
      </c>
      <c r="B32" s="248"/>
      <c r="C32" s="249"/>
      <c r="D32" s="250"/>
      <c r="E32" s="250"/>
      <c r="F32" s="251"/>
      <c r="G32" s="252">
        <f>SUBTOTAL(9,G7:G31)</f>
        <v>777</v>
      </c>
      <c r="H32" s="252">
        <f>SUBTOTAL(9,H7:H31)</f>
        <v>54</v>
      </c>
      <c r="I32" s="252">
        <f>SUBTOTAL(9,I7:I31)</f>
        <v>0</v>
      </c>
      <c r="J32" s="251">
        <f>H32/G32</f>
        <v>6.9498069498069498E-2</v>
      </c>
      <c r="K32" s="251">
        <f>I32/G32</f>
        <v>0</v>
      </c>
      <c r="L32" s="256">
        <f t="shared" si="0"/>
        <v>-6.9498069498069498E-2</v>
      </c>
    </row>
    <row r="33" spans="1:12" outlineLevel="2">
      <c r="A33" s="244" t="s">
        <v>1410</v>
      </c>
      <c r="B33" s="245" t="s">
        <v>1402</v>
      </c>
      <c r="C33" s="244" t="s">
        <v>1390</v>
      </c>
      <c r="D33" s="246">
        <v>44197</v>
      </c>
      <c r="E33" s="246">
        <v>44255</v>
      </c>
      <c r="F33" s="205">
        <v>1</v>
      </c>
      <c r="G33" s="90">
        <v>38</v>
      </c>
      <c r="H33" s="90">
        <v>18</v>
      </c>
      <c r="I33" s="90">
        <v>0</v>
      </c>
      <c r="J33" s="205">
        <v>0.47368421052631576</v>
      </c>
      <c r="K33" s="205">
        <v>0</v>
      </c>
      <c r="L33" s="255">
        <f t="shared" si="0"/>
        <v>-0.47368421052631576</v>
      </c>
    </row>
    <row r="34" spans="1:12" outlineLevel="2">
      <c r="A34" s="244" t="s">
        <v>1410</v>
      </c>
      <c r="B34" s="245" t="s">
        <v>1238</v>
      </c>
      <c r="C34" s="244" t="s">
        <v>1393</v>
      </c>
      <c r="D34" s="246">
        <v>44256</v>
      </c>
      <c r="E34" s="246">
        <v>44286</v>
      </c>
      <c r="F34" s="205">
        <v>1</v>
      </c>
      <c r="G34" s="90">
        <v>22</v>
      </c>
      <c r="H34" s="90">
        <v>0</v>
      </c>
      <c r="I34" s="90">
        <v>0</v>
      </c>
      <c r="J34" s="205">
        <v>0</v>
      </c>
      <c r="K34" s="205">
        <v>0</v>
      </c>
      <c r="L34" s="205">
        <f t="shared" si="0"/>
        <v>0</v>
      </c>
    </row>
    <row r="35" spans="1:12" outlineLevel="2">
      <c r="A35" s="244" t="s">
        <v>1410</v>
      </c>
      <c r="B35" s="245" t="s">
        <v>1239</v>
      </c>
      <c r="C35" s="244" t="s">
        <v>1394</v>
      </c>
      <c r="D35" s="246">
        <v>44287</v>
      </c>
      <c r="E35" s="246">
        <v>44316</v>
      </c>
      <c r="F35" s="205">
        <v>0</v>
      </c>
      <c r="G35" s="90">
        <v>0</v>
      </c>
      <c r="H35" s="90">
        <v>0</v>
      </c>
      <c r="I35" s="90">
        <v>0</v>
      </c>
      <c r="J35" s="205">
        <v>0</v>
      </c>
      <c r="K35" s="205">
        <v>0</v>
      </c>
      <c r="L35" s="205">
        <f t="shared" si="0"/>
        <v>0</v>
      </c>
    </row>
    <row r="36" spans="1:12" outlineLevel="2">
      <c r="A36" s="244" t="s">
        <v>1410</v>
      </c>
      <c r="B36" s="245" t="s">
        <v>1426</v>
      </c>
      <c r="C36" s="244" t="s">
        <v>1425</v>
      </c>
      <c r="D36" s="246">
        <v>44317</v>
      </c>
      <c r="E36" s="246">
        <v>44469</v>
      </c>
      <c r="F36" s="205">
        <v>1</v>
      </c>
      <c r="G36" s="90">
        <v>104</v>
      </c>
      <c r="H36" s="90">
        <v>0</v>
      </c>
      <c r="I36" s="90">
        <v>0</v>
      </c>
      <c r="J36" s="205">
        <v>0</v>
      </c>
      <c r="K36" s="205">
        <v>0</v>
      </c>
      <c r="L36" s="205">
        <f t="shared" si="0"/>
        <v>0</v>
      </c>
    </row>
    <row r="37" spans="1:12" outlineLevel="2">
      <c r="A37" s="244" t="s">
        <v>1410</v>
      </c>
      <c r="B37" s="245" t="s">
        <v>1427</v>
      </c>
      <c r="C37" s="244" t="s">
        <v>1423</v>
      </c>
      <c r="D37" s="246">
        <v>44470</v>
      </c>
      <c r="E37" s="246">
        <v>44530</v>
      </c>
      <c r="F37" s="205">
        <v>1</v>
      </c>
      <c r="G37" s="90">
        <v>43</v>
      </c>
      <c r="H37" s="90">
        <v>0</v>
      </c>
      <c r="I37" s="90">
        <v>0</v>
      </c>
      <c r="J37" s="205">
        <v>0</v>
      </c>
      <c r="K37" s="205">
        <v>0</v>
      </c>
      <c r="L37" s="205">
        <f t="shared" si="0"/>
        <v>0</v>
      </c>
    </row>
    <row r="38" spans="1:12" outlineLevel="2">
      <c r="A38" s="244" t="s">
        <v>1410</v>
      </c>
      <c r="B38" s="245" t="s">
        <v>1413</v>
      </c>
      <c r="C38" s="244" t="s">
        <v>1412</v>
      </c>
      <c r="D38" s="246">
        <v>44501</v>
      </c>
      <c r="E38" s="246">
        <v>44530</v>
      </c>
      <c r="F38" s="205">
        <v>1</v>
      </c>
      <c r="G38" s="90">
        <v>22</v>
      </c>
      <c r="H38" s="90">
        <v>0</v>
      </c>
      <c r="I38" s="90">
        <v>0</v>
      </c>
      <c r="J38" s="205">
        <v>0</v>
      </c>
      <c r="K38" s="205">
        <v>0</v>
      </c>
      <c r="L38" s="205">
        <f t="shared" si="0"/>
        <v>0</v>
      </c>
    </row>
    <row r="39" spans="1:12" outlineLevel="2">
      <c r="A39" s="244" t="s">
        <v>1410</v>
      </c>
      <c r="B39" s="245" t="s">
        <v>1414</v>
      </c>
      <c r="C39" s="244" t="s">
        <v>1415</v>
      </c>
      <c r="D39" s="246">
        <v>44531</v>
      </c>
      <c r="E39" s="246">
        <v>44561</v>
      </c>
      <c r="F39" s="205">
        <v>1</v>
      </c>
      <c r="G39" s="90">
        <v>23</v>
      </c>
      <c r="H39" s="90">
        <v>0</v>
      </c>
      <c r="I39" s="90">
        <v>0</v>
      </c>
      <c r="J39" s="205">
        <v>0</v>
      </c>
      <c r="K39" s="205">
        <v>0</v>
      </c>
      <c r="L39" s="205">
        <f t="shared" ref="L39:L56" si="1">K39-J39</f>
        <v>0</v>
      </c>
    </row>
    <row r="40" spans="1:12" outlineLevel="2">
      <c r="A40" s="244" t="s">
        <v>1410</v>
      </c>
      <c r="B40" s="245" t="s">
        <v>1428</v>
      </c>
      <c r="C40" s="244" t="s">
        <v>1393</v>
      </c>
      <c r="D40" s="246">
        <v>44197</v>
      </c>
      <c r="E40" s="246">
        <v>44255</v>
      </c>
      <c r="F40" s="205">
        <v>1</v>
      </c>
      <c r="G40" s="90">
        <v>38</v>
      </c>
      <c r="H40" s="90">
        <v>18</v>
      </c>
      <c r="I40" s="90">
        <v>0</v>
      </c>
      <c r="J40" s="205">
        <v>0.47368421052631576</v>
      </c>
      <c r="K40" s="205">
        <v>0</v>
      </c>
      <c r="L40" s="255">
        <f t="shared" si="1"/>
        <v>-0.47368421052631576</v>
      </c>
    </row>
    <row r="41" spans="1:12" outlineLevel="2">
      <c r="A41" s="244" t="s">
        <v>1410</v>
      </c>
      <c r="B41" s="245" t="s">
        <v>1429</v>
      </c>
      <c r="C41" s="244" t="s">
        <v>1435</v>
      </c>
      <c r="D41" s="246">
        <v>44256</v>
      </c>
      <c r="E41" s="246">
        <v>44286</v>
      </c>
      <c r="F41" s="205">
        <v>1</v>
      </c>
      <c r="G41" s="90">
        <v>22</v>
      </c>
      <c r="H41" s="90">
        <v>0</v>
      </c>
      <c r="I41" s="90">
        <v>0</v>
      </c>
      <c r="J41" s="205">
        <v>0</v>
      </c>
      <c r="K41" s="205">
        <v>0</v>
      </c>
      <c r="L41" s="205">
        <f t="shared" si="1"/>
        <v>0</v>
      </c>
    </row>
    <row r="42" spans="1:12" outlineLevel="2">
      <c r="A42" s="244" t="s">
        <v>1410</v>
      </c>
      <c r="B42" s="245" t="s">
        <v>1432</v>
      </c>
      <c r="C42" s="244" t="s">
        <v>1421</v>
      </c>
      <c r="D42" s="246">
        <v>44348</v>
      </c>
      <c r="E42" s="246">
        <v>44377</v>
      </c>
      <c r="F42" s="205">
        <v>1</v>
      </c>
      <c r="G42" s="90">
        <v>22</v>
      </c>
      <c r="H42" s="90">
        <v>0</v>
      </c>
      <c r="I42" s="90">
        <v>0</v>
      </c>
      <c r="J42" s="205">
        <v>0</v>
      </c>
      <c r="K42" s="205">
        <v>0</v>
      </c>
      <c r="L42" s="205">
        <f t="shared" si="1"/>
        <v>0</v>
      </c>
    </row>
    <row r="43" spans="1:12" outlineLevel="2">
      <c r="A43" s="244" t="s">
        <v>1410</v>
      </c>
      <c r="B43" s="245" t="s">
        <v>1433</v>
      </c>
      <c r="C43" s="244" t="s">
        <v>1408</v>
      </c>
      <c r="D43" s="246">
        <v>44378</v>
      </c>
      <c r="E43" s="246">
        <v>44408</v>
      </c>
      <c r="F43" s="205">
        <v>1</v>
      </c>
      <c r="G43" s="90">
        <v>22</v>
      </c>
      <c r="H43" s="90">
        <v>0</v>
      </c>
      <c r="I43" s="90">
        <v>0</v>
      </c>
      <c r="J43" s="205">
        <v>0</v>
      </c>
      <c r="K43" s="205">
        <v>0</v>
      </c>
      <c r="L43" s="205">
        <f t="shared" si="1"/>
        <v>0</v>
      </c>
    </row>
    <row r="44" spans="1:12" outlineLevel="2">
      <c r="A44" s="244" t="s">
        <v>1410</v>
      </c>
      <c r="B44" s="245" t="s">
        <v>1434</v>
      </c>
      <c r="C44" s="244" t="s">
        <v>1422</v>
      </c>
      <c r="D44" s="246">
        <v>44409</v>
      </c>
      <c r="E44" s="246">
        <v>44439</v>
      </c>
      <c r="F44" s="205">
        <v>1</v>
      </c>
      <c r="G44" s="90">
        <v>22</v>
      </c>
      <c r="H44" s="90">
        <v>0</v>
      </c>
      <c r="I44" s="90">
        <v>0</v>
      </c>
      <c r="J44" s="205">
        <v>0</v>
      </c>
      <c r="K44" s="205">
        <v>0</v>
      </c>
      <c r="L44" s="205">
        <f t="shared" si="1"/>
        <v>0</v>
      </c>
    </row>
    <row r="45" spans="1:12" outlineLevel="2">
      <c r="A45" s="244" t="s">
        <v>1410</v>
      </c>
      <c r="B45" s="245" t="s">
        <v>1439</v>
      </c>
      <c r="C45" s="244" t="s">
        <v>1436</v>
      </c>
      <c r="D45" s="246">
        <v>44197</v>
      </c>
      <c r="E45" s="246">
        <v>44255</v>
      </c>
      <c r="F45" s="205">
        <v>1</v>
      </c>
      <c r="G45" s="90">
        <v>38</v>
      </c>
      <c r="H45" s="90">
        <v>18</v>
      </c>
      <c r="I45" s="90">
        <v>0</v>
      </c>
      <c r="J45" s="205">
        <v>0.47368421052631576</v>
      </c>
      <c r="K45" s="205">
        <v>0</v>
      </c>
      <c r="L45" s="255">
        <f t="shared" si="1"/>
        <v>-0.47368421052631576</v>
      </c>
    </row>
    <row r="46" spans="1:12" outlineLevel="2">
      <c r="A46" s="244" t="s">
        <v>1410</v>
      </c>
      <c r="B46" s="245" t="s">
        <v>1240</v>
      </c>
      <c r="C46" s="244" t="s">
        <v>1442</v>
      </c>
      <c r="D46" s="246">
        <v>44287</v>
      </c>
      <c r="E46" s="246">
        <v>44316</v>
      </c>
      <c r="F46" s="205">
        <v>1</v>
      </c>
      <c r="G46" s="90">
        <v>22</v>
      </c>
      <c r="H46" s="90">
        <v>0</v>
      </c>
      <c r="I46" s="90">
        <v>0</v>
      </c>
      <c r="J46" s="205">
        <v>0</v>
      </c>
      <c r="K46" s="205">
        <v>0</v>
      </c>
      <c r="L46" s="205">
        <f t="shared" si="1"/>
        <v>0</v>
      </c>
    </row>
    <row r="47" spans="1:12" outlineLevel="2">
      <c r="A47" s="244" t="s">
        <v>1410</v>
      </c>
      <c r="B47" s="245" t="s">
        <v>1450</v>
      </c>
      <c r="C47" s="244" t="s">
        <v>1444</v>
      </c>
      <c r="D47" s="246">
        <v>44348</v>
      </c>
      <c r="E47" s="246">
        <v>44377</v>
      </c>
      <c r="F47" s="205">
        <v>1</v>
      </c>
      <c r="G47" s="90">
        <v>22</v>
      </c>
      <c r="H47" s="90">
        <v>0</v>
      </c>
      <c r="I47" s="90">
        <v>0</v>
      </c>
      <c r="J47" s="205">
        <v>0</v>
      </c>
      <c r="K47" s="205">
        <v>0</v>
      </c>
      <c r="L47" s="205">
        <f t="shared" si="1"/>
        <v>0</v>
      </c>
    </row>
    <row r="48" spans="1:12" outlineLevel="2">
      <c r="A48" s="244" t="s">
        <v>1410</v>
      </c>
      <c r="B48" s="245" t="s">
        <v>1452</v>
      </c>
      <c r="C48" s="244" t="s">
        <v>1446</v>
      </c>
      <c r="D48" s="246">
        <v>44409</v>
      </c>
      <c r="E48" s="246">
        <v>44439</v>
      </c>
      <c r="F48" s="205">
        <v>1</v>
      </c>
      <c r="G48" s="90">
        <v>22</v>
      </c>
      <c r="H48" s="90">
        <v>0</v>
      </c>
      <c r="I48" s="90">
        <v>0</v>
      </c>
      <c r="J48" s="205">
        <v>0</v>
      </c>
      <c r="K48" s="205">
        <v>0</v>
      </c>
      <c r="L48" s="205">
        <f t="shared" si="1"/>
        <v>0</v>
      </c>
    </row>
    <row r="49" spans="1:12" outlineLevel="2">
      <c r="A49" s="244" t="s">
        <v>1410</v>
      </c>
      <c r="B49" s="245" t="s">
        <v>1454</v>
      </c>
      <c r="C49" s="244" t="s">
        <v>1448</v>
      </c>
      <c r="D49" s="246">
        <v>44470</v>
      </c>
      <c r="E49" s="246">
        <v>44500</v>
      </c>
      <c r="F49" s="205">
        <v>1</v>
      </c>
      <c r="G49" s="90">
        <v>21</v>
      </c>
      <c r="H49" s="90">
        <v>0</v>
      </c>
      <c r="I49" s="90">
        <v>0</v>
      </c>
      <c r="J49" s="205">
        <v>0</v>
      </c>
      <c r="K49" s="205">
        <v>0</v>
      </c>
      <c r="L49" s="205">
        <f t="shared" si="1"/>
        <v>0</v>
      </c>
    </row>
    <row r="50" spans="1:12" outlineLevel="2">
      <c r="A50" s="244" t="s">
        <v>1410</v>
      </c>
      <c r="B50" s="245" t="s">
        <v>1475</v>
      </c>
      <c r="C50" s="244" t="s">
        <v>1467</v>
      </c>
      <c r="D50" s="246">
        <v>44287</v>
      </c>
      <c r="E50" s="246">
        <v>44316</v>
      </c>
      <c r="F50" s="205">
        <v>1</v>
      </c>
      <c r="G50" s="90">
        <v>22</v>
      </c>
      <c r="H50" s="90">
        <v>0</v>
      </c>
      <c r="I50" s="90">
        <v>0</v>
      </c>
      <c r="J50" s="205">
        <v>0</v>
      </c>
      <c r="K50" s="205">
        <v>0</v>
      </c>
      <c r="L50" s="205">
        <f t="shared" si="1"/>
        <v>0</v>
      </c>
    </row>
    <row r="51" spans="1:12" outlineLevel="2">
      <c r="A51" s="244" t="s">
        <v>1410</v>
      </c>
      <c r="B51" s="245" t="s">
        <v>1476</v>
      </c>
      <c r="C51" s="244" t="s">
        <v>1471</v>
      </c>
      <c r="D51" s="246">
        <v>44317</v>
      </c>
      <c r="E51" s="246">
        <v>44347</v>
      </c>
      <c r="F51" s="205">
        <v>1</v>
      </c>
      <c r="G51" s="90">
        <v>19</v>
      </c>
      <c r="H51" s="90">
        <v>0</v>
      </c>
      <c r="I51" s="90">
        <v>0</v>
      </c>
      <c r="J51" s="205">
        <v>0</v>
      </c>
      <c r="K51" s="205">
        <v>0</v>
      </c>
      <c r="L51" s="205">
        <f t="shared" si="1"/>
        <v>0</v>
      </c>
    </row>
    <row r="52" spans="1:12" outlineLevel="2">
      <c r="A52" s="244" t="s">
        <v>1410</v>
      </c>
      <c r="B52" s="245" t="s">
        <v>1477</v>
      </c>
      <c r="C52" s="244" t="s">
        <v>1474</v>
      </c>
      <c r="D52" s="246">
        <v>44501</v>
      </c>
      <c r="E52" s="246">
        <v>44530</v>
      </c>
      <c r="F52" s="205">
        <v>1</v>
      </c>
      <c r="G52" s="90">
        <v>22</v>
      </c>
      <c r="H52" s="90">
        <v>0</v>
      </c>
      <c r="I52" s="90">
        <v>0</v>
      </c>
      <c r="J52" s="205">
        <v>0</v>
      </c>
      <c r="K52" s="205">
        <v>0</v>
      </c>
      <c r="L52" s="205">
        <f t="shared" si="1"/>
        <v>0</v>
      </c>
    </row>
    <row r="53" spans="1:12" outlineLevel="2">
      <c r="A53" s="244" t="s">
        <v>1410</v>
      </c>
      <c r="B53" s="245" t="s">
        <v>1478</v>
      </c>
      <c r="C53" s="244" t="s">
        <v>1473</v>
      </c>
      <c r="D53" s="246">
        <v>44531</v>
      </c>
      <c r="E53" s="246">
        <v>44561</v>
      </c>
      <c r="F53" s="205">
        <v>1</v>
      </c>
      <c r="G53" s="90">
        <v>23</v>
      </c>
      <c r="H53" s="90">
        <v>0</v>
      </c>
      <c r="I53" s="90">
        <v>0</v>
      </c>
      <c r="J53" s="205">
        <v>0</v>
      </c>
      <c r="K53" s="205">
        <v>0</v>
      </c>
      <c r="L53" s="205">
        <f t="shared" si="1"/>
        <v>0</v>
      </c>
    </row>
    <row r="54" spans="1:12" outlineLevel="2">
      <c r="A54" s="244" t="s">
        <v>1410</v>
      </c>
      <c r="B54" s="245" t="s">
        <v>1462</v>
      </c>
      <c r="C54" s="244" t="s">
        <v>1466</v>
      </c>
      <c r="D54" s="246">
        <v>44256</v>
      </c>
      <c r="E54" s="246">
        <v>44316</v>
      </c>
      <c r="F54" s="205">
        <v>1</v>
      </c>
      <c r="G54" s="90">
        <v>44</v>
      </c>
      <c r="H54" s="90">
        <v>0</v>
      </c>
      <c r="I54" s="90">
        <v>0</v>
      </c>
      <c r="J54" s="205">
        <v>0</v>
      </c>
      <c r="K54" s="205">
        <v>0</v>
      </c>
      <c r="L54" s="205">
        <f t="shared" si="1"/>
        <v>0</v>
      </c>
    </row>
    <row r="55" spans="1:12" outlineLevel="2">
      <c r="A55" s="244" t="s">
        <v>1410</v>
      </c>
      <c r="B55" s="245" t="s">
        <v>1464</v>
      </c>
      <c r="C55" s="244" t="s">
        <v>1459</v>
      </c>
      <c r="D55" s="246">
        <v>44348</v>
      </c>
      <c r="E55" s="246">
        <v>44377</v>
      </c>
      <c r="F55" s="205">
        <v>1</v>
      </c>
      <c r="G55" s="90">
        <v>22</v>
      </c>
      <c r="H55" s="90">
        <v>0</v>
      </c>
      <c r="I55" s="90">
        <v>0</v>
      </c>
      <c r="J55" s="205">
        <v>0</v>
      </c>
      <c r="K55" s="205">
        <v>0</v>
      </c>
      <c r="L55" s="205">
        <f t="shared" si="1"/>
        <v>0</v>
      </c>
    </row>
    <row r="56" spans="1:12" outlineLevel="1">
      <c r="A56" s="247" t="s">
        <v>1489</v>
      </c>
      <c r="B56" s="248"/>
      <c r="C56" s="249"/>
      <c r="D56" s="250"/>
      <c r="E56" s="250"/>
      <c r="F56" s="251"/>
      <c r="G56" s="252">
        <f>SUBTOTAL(9,G33:G55)</f>
        <v>655</v>
      </c>
      <c r="H56" s="252">
        <f>SUBTOTAL(9,H33:H55)</f>
        <v>54</v>
      </c>
      <c r="I56" s="252">
        <f>SUBTOTAL(9,I33:I55)</f>
        <v>0</v>
      </c>
      <c r="J56" s="251">
        <f>H56/G56</f>
        <v>8.2442748091603055E-2</v>
      </c>
      <c r="K56" s="251">
        <f>I56/G56</f>
        <v>0</v>
      </c>
      <c r="L56" s="256">
        <f t="shared" si="1"/>
        <v>-8.2442748091603055E-2</v>
      </c>
    </row>
    <row r="57" spans="1:12" outlineLevel="1">
      <c r="J57" s="205"/>
      <c r="K57" s="205"/>
      <c r="L57" s="205"/>
    </row>
    <row r="58" spans="1:12" outlineLevel="1">
      <c r="A58" s="253" t="s">
        <v>1490</v>
      </c>
      <c r="B58" s="254"/>
      <c r="C58" s="254"/>
      <c r="D58" s="254"/>
      <c r="E58" s="254"/>
      <c r="F58" s="251"/>
      <c r="G58" s="252">
        <f>SUBTOTAL(9,G7:G57)</f>
        <v>1432</v>
      </c>
      <c r="H58" s="252">
        <f>SUBTOTAL(9,H7:H57)</f>
        <v>108</v>
      </c>
      <c r="I58" s="252">
        <f>SUBTOTAL(9,I7:I57)</f>
        <v>0</v>
      </c>
      <c r="J58" s="251">
        <f>H58/G58</f>
        <v>7.5418994413407825E-2</v>
      </c>
      <c r="K58" s="251">
        <f>I58/G58</f>
        <v>0</v>
      </c>
      <c r="L58" s="256">
        <f>K58-J58</f>
        <v>-7.5418994413407825E-2</v>
      </c>
    </row>
  </sheetData>
  <sortState ref="A7:M55">
    <sortCondition ref="A7:A50"/>
    <sortCondition ref="B7:B50"/>
  </sortState>
  <dataConsolidate/>
  <phoneticPr fontId="2" type="noConversion"/>
  <hyperlinks>
    <hyperlink ref="B33" location="Schedule!$D$8" display="1.1.1.1" xr:uid="{3CFA5A5D-D407-4A23-BC43-C78AF00B5007}"/>
    <hyperlink ref="B7" location="Schedule!$D$8" display="1.1.1.1" xr:uid="{B4F13A7B-7C9F-446A-8713-605B3A100C00}"/>
    <hyperlink ref="B34" location="Schedule!$D$10" display="1.1.2.1" xr:uid="{3A61B4C4-31E1-41A0-9419-5691701B9276}"/>
    <hyperlink ref="B8" location="Schedule!$D$10" display="1.1.2.1" xr:uid="{32890FBD-F2CC-44E5-803F-2887A0F6FE62}"/>
    <hyperlink ref="B35" location="Schedule!$D$11" display="1.1.2.2" xr:uid="{4A65A51C-D5E5-4BDF-AAF3-E942FE0DCAD8}"/>
    <hyperlink ref="B9" location="Schedule!$D$11" display="1.1.2.2" xr:uid="{46B33A43-6859-4EF5-AFB0-A9BCD3568348}"/>
    <hyperlink ref="B36" location="Schedule!$D$13" display="1.1.3.1" xr:uid="{9DA0427C-FD58-4C73-A2DB-3B5AA9987F51}"/>
    <hyperlink ref="B37" location="Schedule!$D$15" display="1.1.4.1" xr:uid="{A77E88EA-F62C-4AB6-8D97-25B76D9EC87E}"/>
    <hyperlink ref="B38" location="Schedule!$D$17" display="1.1.5.1" xr:uid="{693954E4-E19D-4F33-8DAA-CC8F33D72B2F}"/>
    <hyperlink ref="B10" location="Schedule!$D$17" display="1.1.5.1" xr:uid="{B99D383E-DC6E-4233-B9CE-99DD6A753686}"/>
    <hyperlink ref="B39" location="Schedule!$D$18" display="1.1.5.2" xr:uid="{84DBE717-05FA-47A8-8ACF-85B19DE41F9F}"/>
    <hyperlink ref="B40" location="Schedule!$D$21" display="1.2.1.1" xr:uid="{2789C39F-0E29-4013-B399-01E4C3DDE46B}"/>
    <hyperlink ref="B11" location="Schedule!$D$21" display="1.2.1.1" xr:uid="{646298C7-5A23-4C65-9543-C1745D3EFFB5}"/>
    <hyperlink ref="B41" location="Schedule!$D$22" display="1.2.1.2" xr:uid="{518E2C2A-3159-4404-B70E-5D1241B2F0C2}"/>
    <hyperlink ref="B12" location="Schedule!$D$22" display="1.2.1.2" xr:uid="{1DDE4ABB-9F78-43ED-B697-7F25B967C028}"/>
    <hyperlink ref="B13" location="Schedule!$D$24" display="1.2.2.1" xr:uid="{43B93589-C38A-4727-9B5D-1E33A9678E28}"/>
    <hyperlink ref="B14" location="Schedule!$D$25" display="1.2.2.2" xr:uid="{A5C6B2F4-A520-4557-BE50-60C256ED9E0F}"/>
    <hyperlink ref="B15" location="Schedule!$D$26" display="1.2.2.3" xr:uid="{78343C60-3E1D-4582-9099-5DE52538F172}"/>
    <hyperlink ref="B16" location="Schedule!$D$28" display="1.2.3.1" xr:uid="{5126A39C-DBA6-4358-9146-A4603DEA5EA1}"/>
    <hyperlink ref="B17" location="Schedule!$D$30" display="1.2.4.1" xr:uid="{A2429BCA-9B14-4C30-A268-0A7ADA5EF79E}"/>
    <hyperlink ref="B18" location="Schedule!$D$31" display="1.2.4.2" xr:uid="{29E33995-CF48-4183-A770-67BCA3567CCF}"/>
    <hyperlink ref="B42" location="Schedule!$D$34" display="1.3.1.1" xr:uid="{F8BCB182-1C16-4590-A6DD-9A8EF433FBB5}"/>
    <hyperlink ref="B19" location="Schedule!$D$34" display="1.3.1.1" xr:uid="{465A699E-1B0C-4BA2-906D-28D058DAFD55}"/>
    <hyperlink ref="B43" location="Schedule!$D$36" display="1.3.2.1" xr:uid="{1B23E366-0685-4A38-A202-C21E4A6D798A}"/>
    <hyperlink ref="B44" location="Schedule!$D$38" display="1.3.3.1" xr:uid="{BB49773D-9BB1-49C5-ABD3-6818924F31B9}"/>
    <hyperlink ref="B45" location="Schedule!$D$42" display="2.1.1.1" xr:uid="{03143C44-BF50-41A1-8824-14ED5A1A31FA}"/>
    <hyperlink ref="B20" location="Schedule!$D$42" display="2.1.1.1" xr:uid="{F35A4547-DECF-4106-A0AC-BC643A2D8EC4}"/>
    <hyperlink ref="B21" location="Schedule!$D$43" display="2.1.1.2" xr:uid="{EAA2D653-9C9A-4FEE-8EC1-3AD06A4C1AC2}"/>
    <hyperlink ref="B46" location="Schedule!$D$45" display="2.1.2.1" xr:uid="{CA872D04-4C13-440B-82DD-AE5057352467}"/>
    <hyperlink ref="B22" location="Schedule!$D$45" display="2.1.2.1" xr:uid="{F3E3E1ED-ADE2-4E8E-9C0B-F9E390E56D7B}"/>
    <hyperlink ref="B23" location="Schedule!$D$46" display="2.1.2.2" xr:uid="{88259350-6F86-4C24-A5F8-96CE654B6DBA}"/>
    <hyperlink ref="B47" location="Schedule!$D$47" display="2.1.2.3" xr:uid="{F05E5778-90BA-4132-B1A7-11AE18797C66}"/>
    <hyperlink ref="B24" location="Schedule!$D$47" display="2.1.2.3" xr:uid="{CA47157C-7447-4CFE-9B58-6D034DC1C0E0}"/>
    <hyperlink ref="B25" location="Schedule!$D$48" display="2.1.2.4" xr:uid="{A27FAE9E-73E6-446D-ADF9-43BA3AD75E8E}"/>
    <hyperlink ref="B48" location="Schedule!$D$49" display="2.1.2.5" xr:uid="{33B33580-32DA-43A0-81DB-E01964FA8D8B}"/>
    <hyperlink ref="B26" location="Schedule!$D$49" display="2.1.2.5" xr:uid="{CD390474-2325-42AB-8032-B778D2A910FC}"/>
    <hyperlink ref="B27" location="Schedule!$D$50" display="2.1.2.6" xr:uid="{B30924C5-BA44-4548-B4F9-96376CDC1E9A}"/>
    <hyperlink ref="B49" location="Schedule!$D$51" display="2.1.2.7" xr:uid="{99AB7929-37DB-4BDE-8FF6-DDEAA95A0D5D}"/>
    <hyperlink ref="B28" location="Schedule!$D$51" display="2.1.2.7" xr:uid="{058A241E-F337-4F6C-B557-D3EFE4CE3EF8}"/>
    <hyperlink ref="B29" location="Schedule!$D$52" display="2.1.2.8" xr:uid="{360F9A5B-1DB8-4E33-BC9E-A5997B921A04}"/>
    <hyperlink ref="B50" location="Schedule!$D$56" display="3.1.1.1" xr:uid="{1D18F767-2F5C-4C9A-B3CF-00FDE424E86B}"/>
    <hyperlink ref="B51" location="Schedule!$D$58" display="3.1.2.1" xr:uid="{7EAF78AC-B4A0-43D8-842B-561040584B47}"/>
    <hyperlink ref="B52" location="Schedule!$D$61" display="3.2.1.1" xr:uid="{D10152AD-485D-4079-8B70-8637D1E402E5}"/>
    <hyperlink ref="B53" location="Schedule!$D$63" display="3.2.2.1" xr:uid="{448A89A6-7F03-4552-B6D6-131013909BA2}"/>
    <hyperlink ref="B54" location="Schedule!$D$67" display="4.1.1.1" xr:uid="{857EA8F3-16C1-4432-A744-32DD20A2D551}"/>
    <hyperlink ref="B30" location="Schedule!$D$68" display="4.1.1.2" xr:uid="{0A6E42C0-9083-4D68-B07D-0A5BD7B351FE}"/>
    <hyperlink ref="B55" location="Schedule!$D$71" display="4.2.1.1" xr:uid="{E7F3C586-DC2F-43F1-951F-DB84AA350E2E}"/>
    <hyperlink ref="B31" location="Schedule!$D$72" display="4.2.1.2" xr:uid="{A84D17F9-18EF-44AE-AB35-3DD87D976AD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293"/>
  <sheetViews>
    <sheetView showGridLines="0" zoomScale="85" zoomScaleNormal="85" workbookViewId="0">
      <pane ySplit="1" topLeftCell="A2" activePane="bottomLeft" state="frozenSplit"/>
      <selection pane="bottomLeft" activeCell="H37" sqref="H3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10" s="64" customFormat="1" ht="36.950000000000003" customHeight="1">
      <c r="A1" s="1" t="s">
        <v>1326</v>
      </c>
      <c r="B1" s="1"/>
      <c r="C1" s="1"/>
      <c r="D1" s="1"/>
      <c r="E1" s="1"/>
      <c r="F1" s="1"/>
      <c r="G1" s="1"/>
      <c r="H1" s="1"/>
    </row>
    <row r="2" spans="1:10" s="65" customFormat="1" ht="78.75" customHeight="1">
      <c r="A2" s="314" t="s">
        <v>1327</v>
      </c>
      <c r="B2" s="314"/>
      <c r="C2" s="314"/>
      <c r="D2" s="314"/>
      <c r="E2" s="314"/>
      <c r="F2" s="314"/>
      <c r="G2" s="314"/>
      <c r="H2" s="314"/>
    </row>
    <row r="3" spans="1:10" s="65" customFormat="1" ht="24.75" customHeight="1">
      <c r="A3" s="315" t="s">
        <v>1328</v>
      </c>
      <c r="B3" s="315"/>
      <c r="D3" s="315" t="s">
        <v>1329</v>
      </c>
      <c r="E3" s="315"/>
      <c r="G3" s="315" t="s">
        <v>1330</v>
      </c>
      <c r="H3" s="315"/>
    </row>
    <row r="4" spans="1:10" s="67" customFormat="1" ht="19.5" customHeight="1">
      <c r="A4" s="66" t="s">
        <v>1331</v>
      </c>
      <c r="B4" s="66" t="s">
        <v>1332</v>
      </c>
      <c r="D4" s="66" t="s">
        <v>1331</v>
      </c>
      <c r="E4" s="66" t="s">
        <v>1332</v>
      </c>
      <c r="G4" s="66" t="s">
        <v>1331</v>
      </c>
      <c r="H4" s="66" t="s">
        <v>1332</v>
      </c>
    </row>
    <row r="5" spans="1:10" s="93" customFormat="1" ht="16.5">
      <c r="A5" s="91" t="s">
        <v>1230</v>
      </c>
      <c r="B5" s="92">
        <v>44197</v>
      </c>
      <c r="C5" s="93" t="str">
        <f t="shared" ref="C5:C56" si="0">IF(B5&gt;0,TEXT(B5,"(aaa)"),"")</f>
        <v>(금)</v>
      </c>
      <c r="D5" s="94"/>
      <c r="E5" s="95"/>
      <c r="F5" s="93" t="str">
        <f t="shared" ref="F5:F56" si="1">IF(E5&gt;0,TEXT(E5,"(aaa)"),"")</f>
        <v/>
      </c>
      <c r="G5" s="94"/>
      <c r="H5" s="95"/>
      <c r="I5" s="93" t="str">
        <f t="shared" ref="I5:I56" si="2">IF(H5&gt;0,TEXT(H5,"(aaa)"),"")</f>
        <v/>
      </c>
    </row>
    <row r="6" spans="1:10" s="93" customFormat="1" ht="16.5">
      <c r="A6" s="91" t="s">
        <v>1231</v>
      </c>
      <c r="B6" s="92">
        <v>44238</v>
      </c>
      <c r="C6" s="93" t="str">
        <f t="shared" si="0"/>
        <v>(목)</v>
      </c>
      <c r="D6" s="94"/>
      <c r="E6" s="95"/>
      <c r="F6" s="93" t="str">
        <f t="shared" si="1"/>
        <v/>
      </c>
      <c r="G6" s="94"/>
      <c r="H6" s="95"/>
      <c r="I6" s="93" t="str">
        <f t="shared" si="2"/>
        <v/>
      </c>
    </row>
    <row r="7" spans="1:10" s="93" customFormat="1" ht="17.25">
      <c r="A7" s="91" t="s">
        <v>1232</v>
      </c>
      <c r="B7" s="92">
        <v>44239</v>
      </c>
      <c r="C7" s="93" t="str">
        <f t="shared" si="0"/>
        <v>(금)</v>
      </c>
      <c r="D7" s="94"/>
      <c r="E7" s="95"/>
      <c r="F7" s="93" t="str">
        <f t="shared" si="1"/>
        <v/>
      </c>
      <c r="G7" s="94"/>
      <c r="H7" s="95"/>
      <c r="I7" s="93" t="str">
        <f t="shared" si="2"/>
        <v/>
      </c>
      <c r="J7" s="96"/>
    </row>
    <row r="8" spans="1:10" s="93" customFormat="1" ht="17.25">
      <c r="A8" s="91" t="s">
        <v>1233</v>
      </c>
      <c r="B8" s="92">
        <v>44256</v>
      </c>
      <c r="C8" s="93" t="str">
        <f t="shared" si="0"/>
        <v>(월)</v>
      </c>
      <c r="D8" s="94"/>
      <c r="E8" s="95"/>
      <c r="F8" s="93" t="str">
        <f t="shared" si="1"/>
        <v/>
      </c>
      <c r="G8" s="94"/>
      <c r="H8" s="95"/>
      <c r="I8" s="93" t="str">
        <f t="shared" si="2"/>
        <v/>
      </c>
      <c r="J8" s="96"/>
    </row>
    <row r="9" spans="1:10" s="93" customFormat="1" ht="16.5">
      <c r="A9" s="91" t="s">
        <v>1234</v>
      </c>
      <c r="B9" s="92">
        <v>44321</v>
      </c>
      <c r="C9" s="93" t="str">
        <f t="shared" si="0"/>
        <v>(수)</v>
      </c>
      <c r="D9" s="94"/>
      <c r="E9" s="95"/>
      <c r="F9" s="93" t="str">
        <f t="shared" si="1"/>
        <v/>
      </c>
      <c r="G9" s="94"/>
      <c r="H9" s="95"/>
      <c r="I9" s="93" t="str">
        <f t="shared" si="2"/>
        <v/>
      </c>
    </row>
    <row r="10" spans="1:10" s="93" customFormat="1" ht="16.5">
      <c r="A10" s="91" t="s">
        <v>1235</v>
      </c>
      <c r="B10" s="92">
        <v>44335</v>
      </c>
      <c r="C10" s="93" t="str">
        <f t="shared" si="0"/>
        <v>(수)</v>
      </c>
      <c r="D10" s="94"/>
      <c r="E10" s="95"/>
      <c r="F10" s="93" t="str">
        <f t="shared" si="1"/>
        <v/>
      </c>
      <c r="G10" s="94"/>
      <c r="H10" s="95"/>
      <c r="I10" s="93" t="str">
        <f t="shared" si="2"/>
        <v/>
      </c>
    </row>
    <row r="11" spans="1:10" s="93" customFormat="1" ht="16.5">
      <c r="A11" s="91" t="s">
        <v>1236</v>
      </c>
      <c r="B11" s="92">
        <v>44459</v>
      </c>
      <c r="C11" s="93" t="str">
        <f t="shared" si="0"/>
        <v>(월)</v>
      </c>
      <c r="D11" s="94"/>
      <c r="E11" s="95"/>
      <c r="F11" s="93" t="str">
        <f t="shared" si="1"/>
        <v/>
      </c>
      <c r="G11" s="94"/>
      <c r="H11" s="95"/>
      <c r="I11" s="93" t="str">
        <f t="shared" si="2"/>
        <v/>
      </c>
    </row>
    <row r="12" spans="1:10" s="93" customFormat="1" ht="16.5">
      <c r="A12" s="91" t="s">
        <v>1237</v>
      </c>
      <c r="B12" s="92">
        <v>44460</v>
      </c>
      <c r="C12" s="93" t="str">
        <f t="shared" si="0"/>
        <v>(화)</v>
      </c>
      <c r="D12" s="94"/>
      <c r="E12" s="95"/>
      <c r="F12" s="93" t="str">
        <f t="shared" si="1"/>
        <v/>
      </c>
      <c r="G12" s="94"/>
      <c r="H12" s="95"/>
      <c r="I12" s="93" t="str">
        <f t="shared" si="2"/>
        <v/>
      </c>
    </row>
    <row r="13" spans="1:10" s="93" customFormat="1" ht="16.5">
      <c r="A13" s="91" t="s">
        <v>1236</v>
      </c>
      <c r="B13" s="92">
        <v>44461</v>
      </c>
      <c r="C13" s="93" t="str">
        <f t="shared" si="0"/>
        <v>(수)</v>
      </c>
      <c r="D13" s="94"/>
      <c r="E13" s="95"/>
      <c r="F13" s="93" t="str">
        <f t="shared" si="1"/>
        <v/>
      </c>
      <c r="G13" s="94"/>
      <c r="H13" s="95"/>
      <c r="I13" s="93" t="str">
        <f t="shared" si="2"/>
        <v/>
      </c>
    </row>
    <row r="14" spans="1:10" s="93" customFormat="1" ht="16.5">
      <c r="A14" s="91"/>
      <c r="B14" s="92"/>
      <c r="C14" s="93" t="str">
        <f t="shared" si="0"/>
        <v/>
      </c>
      <c r="D14" s="94"/>
      <c r="E14" s="95"/>
      <c r="F14" s="93" t="str">
        <f t="shared" si="1"/>
        <v/>
      </c>
      <c r="G14" s="94"/>
      <c r="H14" s="95"/>
      <c r="I14" s="93" t="str">
        <f t="shared" si="2"/>
        <v/>
      </c>
    </row>
    <row r="15" spans="1:10" s="93" customFormat="1" ht="16.5">
      <c r="A15" s="91"/>
      <c r="B15" s="92"/>
      <c r="C15" s="93" t="str">
        <f t="shared" si="0"/>
        <v/>
      </c>
      <c r="D15" s="94"/>
      <c r="E15" s="95"/>
      <c r="F15" s="93" t="str">
        <f t="shared" si="1"/>
        <v/>
      </c>
      <c r="G15" s="94"/>
      <c r="H15" s="95"/>
      <c r="I15" s="93" t="str">
        <f t="shared" si="2"/>
        <v/>
      </c>
    </row>
    <row r="16" spans="1:10" s="93" customFormat="1" ht="16.5">
      <c r="A16" s="91"/>
      <c r="B16" s="92"/>
      <c r="C16" s="93" t="str">
        <f t="shared" si="0"/>
        <v/>
      </c>
      <c r="D16" s="94"/>
      <c r="E16" s="95"/>
      <c r="F16" s="93" t="str">
        <f t="shared" si="1"/>
        <v/>
      </c>
      <c r="G16" s="94"/>
      <c r="H16" s="95"/>
      <c r="I16" s="93" t="str">
        <f t="shared" si="2"/>
        <v/>
      </c>
    </row>
    <row r="17" spans="1:9" s="93" customFormat="1" ht="16.5">
      <c r="A17" s="91"/>
      <c r="B17" s="92"/>
      <c r="C17" s="93" t="str">
        <f t="shared" si="0"/>
        <v/>
      </c>
      <c r="D17" s="94"/>
      <c r="E17" s="95"/>
      <c r="F17" s="93" t="str">
        <f t="shared" si="1"/>
        <v/>
      </c>
      <c r="G17" s="94"/>
      <c r="H17" s="95"/>
      <c r="I17" s="93" t="str">
        <f t="shared" si="2"/>
        <v/>
      </c>
    </row>
    <row r="18" spans="1:9" s="93" customFormat="1" ht="16.5">
      <c r="A18" s="91"/>
      <c r="B18" s="92"/>
      <c r="C18" s="93" t="str">
        <f t="shared" si="0"/>
        <v/>
      </c>
      <c r="D18" s="94"/>
      <c r="E18" s="95"/>
      <c r="F18" s="93" t="str">
        <f t="shared" si="1"/>
        <v/>
      </c>
      <c r="G18" s="94"/>
      <c r="H18" s="95"/>
      <c r="I18" s="93" t="str">
        <f t="shared" si="2"/>
        <v/>
      </c>
    </row>
    <row r="19" spans="1:9" s="93" customFormat="1" ht="16.5">
      <c r="A19" s="91"/>
      <c r="B19" s="92"/>
      <c r="C19" s="93" t="str">
        <f t="shared" si="0"/>
        <v/>
      </c>
      <c r="D19" s="94"/>
      <c r="E19" s="95"/>
      <c r="F19" s="93" t="str">
        <f t="shared" si="1"/>
        <v/>
      </c>
      <c r="G19" s="94"/>
      <c r="H19" s="95"/>
      <c r="I19" s="93" t="str">
        <f t="shared" si="2"/>
        <v/>
      </c>
    </row>
    <row r="20" spans="1:9" s="93" customFormat="1" ht="16.5">
      <c r="A20" s="91"/>
      <c r="B20" s="92"/>
      <c r="C20" s="93" t="str">
        <f t="shared" si="0"/>
        <v/>
      </c>
      <c r="D20" s="94"/>
      <c r="E20" s="95"/>
      <c r="F20" s="93" t="str">
        <f t="shared" si="1"/>
        <v/>
      </c>
      <c r="G20" s="94"/>
      <c r="H20" s="95"/>
      <c r="I20" s="93" t="str">
        <f t="shared" si="2"/>
        <v/>
      </c>
    </row>
    <row r="21" spans="1:9" s="93" customFormat="1" ht="16.5">
      <c r="A21" s="91"/>
      <c r="B21" s="92"/>
      <c r="C21" s="93" t="str">
        <f t="shared" si="0"/>
        <v/>
      </c>
      <c r="D21" s="94"/>
      <c r="E21" s="95"/>
      <c r="F21" s="93" t="str">
        <f t="shared" si="1"/>
        <v/>
      </c>
      <c r="G21" s="94"/>
      <c r="H21" s="95"/>
      <c r="I21" s="93" t="str">
        <f t="shared" si="2"/>
        <v/>
      </c>
    </row>
    <row r="22" spans="1:9" s="93" customFormat="1" ht="16.5">
      <c r="A22" s="91"/>
      <c r="B22" s="92"/>
      <c r="C22" s="93" t="str">
        <f t="shared" si="0"/>
        <v/>
      </c>
      <c r="D22" s="94"/>
      <c r="E22" s="95"/>
      <c r="F22" s="93" t="str">
        <f t="shared" si="1"/>
        <v/>
      </c>
      <c r="G22" s="94"/>
      <c r="H22" s="95"/>
      <c r="I22" s="93" t="str">
        <f t="shared" si="2"/>
        <v/>
      </c>
    </row>
    <row r="23" spans="1:9" s="93" customFormat="1" ht="16.5">
      <c r="A23" s="91"/>
      <c r="B23" s="92"/>
      <c r="C23" s="93" t="str">
        <f t="shared" si="0"/>
        <v/>
      </c>
      <c r="D23" s="94"/>
      <c r="E23" s="95"/>
      <c r="F23" s="93" t="str">
        <f t="shared" si="1"/>
        <v/>
      </c>
      <c r="G23" s="94"/>
      <c r="H23" s="95"/>
      <c r="I23" s="93" t="str">
        <f t="shared" si="2"/>
        <v/>
      </c>
    </row>
    <row r="24" spans="1:9" s="93" customFormat="1" ht="16.5">
      <c r="A24" s="91"/>
      <c r="B24" s="92"/>
      <c r="C24" s="93" t="str">
        <f t="shared" si="0"/>
        <v/>
      </c>
      <c r="D24" s="94"/>
      <c r="E24" s="95"/>
      <c r="F24" s="93" t="str">
        <f t="shared" si="1"/>
        <v/>
      </c>
      <c r="G24" s="94"/>
      <c r="H24" s="95"/>
      <c r="I24" s="93" t="str">
        <f t="shared" si="2"/>
        <v/>
      </c>
    </row>
    <row r="25" spans="1:9" s="93" customFormat="1" ht="16.5">
      <c r="A25" s="91"/>
      <c r="B25" s="92"/>
      <c r="C25" s="93" t="str">
        <f t="shared" si="0"/>
        <v/>
      </c>
      <c r="D25" s="94"/>
      <c r="E25" s="95"/>
      <c r="F25" s="93" t="str">
        <f t="shared" si="1"/>
        <v/>
      </c>
      <c r="G25" s="94"/>
      <c r="H25" s="95"/>
      <c r="I25" s="93" t="str">
        <f t="shared" si="2"/>
        <v/>
      </c>
    </row>
    <row r="26" spans="1:9" s="93" customFormat="1" ht="16.5">
      <c r="A26" s="91"/>
      <c r="B26" s="92"/>
      <c r="C26" s="93" t="str">
        <f t="shared" si="0"/>
        <v/>
      </c>
      <c r="D26" s="94"/>
      <c r="E26" s="95"/>
      <c r="F26" s="93" t="str">
        <f t="shared" si="1"/>
        <v/>
      </c>
      <c r="G26" s="94"/>
      <c r="H26" s="95"/>
      <c r="I26" s="93" t="str">
        <f t="shared" si="2"/>
        <v/>
      </c>
    </row>
    <row r="27" spans="1:9" s="93" customFormat="1" ht="16.5">
      <c r="A27" s="91"/>
      <c r="B27" s="92"/>
      <c r="C27" s="93" t="str">
        <f t="shared" si="0"/>
        <v/>
      </c>
      <c r="D27" s="94"/>
      <c r="E27" s="95"/>
      <c r="F27" s="93" t="str">
        <f t="shared" si="1"/>
        <v/>
      </c>
      <c r="G27" s="94"/>
      <c r="H27" s="95"/>
      <c r="I27" s="93" t="str">
        <f t="shared" si="2"/>
        <v/>
      </c>
    </row>
    <row r="28" spans="1:9" s="93" customFormat="1" ht="16.5">
      <c r="A28" s="91"/>
      <c r="B28" s="92"/>
      <c r="C28" s="93" t="str">
        <f t="shared" si="0"/>
        <v/>
      </c>
      <c r="D28" s="94"/>
      <c r="E28" s="95"/>
      <c r="F28" s="93" t="str">
        <f t="shared" si="1"/>
        <v/>
      </c>
      <c r="G28" s="94"/>
      <c r="H28" s="95"/>
      <c r="I28" s="93" t="str">
        <f t="shared" si="2"/>
        <v/>
      </c>
    </row>
    <row r="29" spans="1:9" s="93" customFormat="1" ht="16.5">
      <c r="A29" s="91"/>
      <c r="B29" s="92"/>
      <c r="C29" s="93" t="str">
        <f t="shared" si="0"/>
        <v/>
      </c>
      <c r="D29" s="94"/>
      <c r="E29" s="95"/>
      <c r="F29" s="93" t="str">
        <f t="shared" si="1"/>
        <v/>
      </c>
      <c r="G29" s="94"/>
      <c r="H29" s="95"/>
      <c r="I29" s="93" t="str">
        <f t="shared" si="2"/>
        <v/>
      </c>
    </row>
    <row r="30" spans="1:9" s="93" customFormat="1" ht="16.5">
      <c r="A30" s="91"/>
      <c r="B30" s="92"/>
      <c r="C30" s="93" t="str">
        <f t="shared" si="0"/>
        <v/>
      </c>
      <c r="D30" s="94"/>
      <c r="E30" s="95"/>
      <c r="F30" s="93" t="str">
        <f t="shared" si="1"/>
        <v/>
      </c>
      <c r="G30" s="94"/>
      <c r="H30" s="95"/>
      <c r="I30" s="93" t="str">
        <f t="shared" si="2"/>
        <v/>
      </c>
    </row>
    <row r="31" spans="1:9" s="93" customFormat="1" ht="16.5">
      <c r="A31" s="91"/>
      <c r="B31" s="92"/>
      <c r="C31" s="93" t="str">
        <f t="shared" si="0"/>
        <v/>
      </c>
      <c r="D31" s="94"/>
      <c r="E31" s="95"/>
      <c r="F31" s="93" t="str">
        <f t="shared" si="1"/>
        <v/>
      </c>
      <c r="G31" s="94"/>
      <c r="H31" s="95"/>
      <c r="I31" s="93" t="str">
        <f t="shared" si="2"/>
        <v/>
      </c>
    </row>
    <row r="32" spans="1:9" s="93" customFormat="1" ht="16.5">
      <c r="A32" s="91"/>
      <c r="B32" s="92"/>
      <c r="C32" s="93" t="str">
        <f t="shared" si="0"/>
        <v/>
      </c>
      <c r="D32" s="94"/>
      <c r="E32" s="95"/>
      <c r="F32" s="93" t="str">
        <f t="shared" si="1"/>
        <v/>
      </c>
      <c r="G32" s="94"/>
      <c r="H32" s="95"/>
      <c r="I32" s="93" t="str">
        <f t="shared" si="2"/>
        <v/>
      </c>
    </row>
    <row r="33" spans="1:9" s="93" customFormat="1" ht="16.5">
      <c r="A33" s="91"/>
      <c r="B33" s="92"/>
      <c r="C33" s="93" t="str">
        <f t="shared" si="0"/>
        <v/>
      </c>
      <c r="D33" s="94"/>
      <c r="E33" s="95"/>
      <c r="F33" s="93" t="str">
        <f t="shared" si="1"/>
        <v/>
      </c>
      <c r="G33" s="94"/>
      <c r="H33" s="95"/>
      <c r="I33" s="93" t="str">
        <f t="shared" si="2"/>
        <v/>
      </c>
    </row>
    <row r="34" spans="1:9" s="93" customFormat="1" ht="16.5">
      <c r="A34" s="91"/>
      <c r="B34" s="92"/>
      <c r="C34" s="93" t="str">
        <f t="shared" si="0"/>
        <v/>
      </c>
      <c r="D34" s="94"/>
      <c r="E34" s="95"/>
      <c r="F34" s="93" t="str">
        <f t="shared" si="1"/>
        <v/>
      </c>
      <c r="G34" s="94"/>
      <c r="H34" s="95"/>
      <c r="I34" s="93" t="str">
        <f t="shared" si="2"/>
        <v/>
      </c>
    </row>
    <row r="35" spans="1:9" s="93" customFormat="1" ht="16.5">
      <c r="A35" s="91"/>
      <c r="B35" s="92"/>
      <c r="C35" s="93" t="str">
        <f t="shared" si="0"/>
        <v/>
      </c>
      <c r="D35" s="94"/>
      <c r="E35" s="95"/>
      <c r="F35" s="93" t="str">
        <f t="shared" si="1"/>
        <v/>
      </c>
      <c r="G35" s="94"/>
      <c r="H35" s="95"/>
      <c r="I35" s="93" t="str">
        <f t="shared" si="2"/>
        <v/>
      </c>
    </row>
    <row r="36" spans="1:9" s="93" customFormat="1" ht="16.5">
      <c r="A36" s="91"/>
      <c r="B36" s="92"/>
      <c r="C36" s="93" t="str">
        <f t="shared" si="0"/>
        <v/>
      </c>
      <c r="D36" s="94"/>
      <c r="E36" s="95"/>
      <c r="F36" s="93" t="str">
        <f t="shared" si="1"/>
        <v/>
      </c>
      <c r="G36" s="94"/>
      <c r="H36" s="95"/>
      <c r="I36" s="93" t="str">
        <f t="shared" si="2"/>
        <v/>
      </c>
    </row>
    <row r="37" spans="1:9" s="93" customFormat="1" ht="16.5">
      <c r="A37" s="91"/>
      <c r="B37" s="92"/>
      <c r="C37" s="93" t="str">
        <f t="shared" si="0"/>
        <v/>
      </c>
      <c r="D37" s="94"/>
      <c r="E37" s="95"/>
      <c r="F37" s="93" t="str">
        <f t="shared" si="1"/>
        <v/>
      </c>
      <c r="G37" s="94"/>
      <c r="H37" s="95"/>
      <c r="I37" s="93" t="str">
        <f t="shared" si="2"/>
        <v/>
      </c>
    </row>
    <row r="38" spans="1:9" s="93" customFormat="1" ht="16.5">
      <c r="A38" s="91"/>
      <c r="B38" s="92"/>
      <c r="C38" s="93" t="str">
        <f t="shared" si="0"/>
        <v/>
      </c>
      <c r="D38" s="94"/>
      <c r="E38" s="95"/>
      <c r="F38" s="93" t="str">
        <f t="shared" si="1"/>
        <v/>
      </c>
      <c r="G38" s="94"/>
      <c r="H38" s="95"/>
      <c r="I38" s="93" t="str">
        <f t="shared" si="2"/>
        <v/>
      </c>
    </row>
    <row r="39" spans="1:9" s="93" customFormat="1" ht="16.5">
      <c r="A39" s="91"/>
      <c r="B39" s="92"/>
      <c r="C39" s="93" t="str">
        <f t="shared" si="0"/>
        <v/>
      </c>
      <c r="D39" s="94"/>
      <c r="E39" s="95"/>
      <c r="F39" s="93" t="str">
        <f t="shared" si="1"/>
        <v/>
      </c>
      <c r="G39" s="94"/>
      <c r="H39" s="95"/>
      <c r="I39" s="93" t="str">
        <f t="shared" si="2"/>
        <v/>
      </c>
    </row>
    <row r="40" spans="1:9" s="93" customFormat="1" ht="16.5">
      <c r="A40" s="91"/>
      <c r="B40" s="92"/>
      <c r="C40" s="93" t="str">
        <f t="shared" si="0"/>
        <v/>
      </c>
      <c r="D40" s="94"/>
      <c r="E40" s="95"/>
      <c r="F40" s="93" t="str">
        <f t="shared" si="1"/>
        <v/>
      </c>
      <c r="G40" s="94"/>
      <c r="H40" s="95"/>
      <c r="I40" s="93" t="str">
        <f t="shared" si="2"/>
        <v/>
      </c>
    </row>
    <row r="41" spans="1:9" s="93" customFormat="1" ht="16.5">
      <c r="A41" s="91"/>
      <c r="B41" s="92"/>
      <c r="C41" s="93" t="str">
        <f t="shared" si="0"/>
        <v/>
      </c>
      <c r="D41" s="94"/>
      <c r="E41" s="95"/>
      <c r="F41" s="93" t="str">
        <f t="shared" si="1"/>
        <v/>
      </c>
      <c r="G41" s="94"/>
      <c r="H41" s="95"/>
      <c r="I41" s="93" t="str">
        <f t="shared" si="2"/>
        <v/>
      </c>
    </row>
    <row r="42" spans="1:9" s="93" customFormat="1" ht="16.5">
      <c r="A42" s="91"/>
      <c r="B42" s="92"/>
      <c r="C42" s="93" t="str">
        <f t="shared" si="0"/>
        <v/>
      </c>
      <c r="D42" s="94"/>
      <c r="E42" s="95"/>
      <c r="F42" s="93" t="str">
        <f t="shared" si="1"/>
        <v/>
      </c>
      <c r="G42" s="94"/>
      <c r="H42" s="95"/>
      <c r="I42" s="93" t="str">
        <f t="shared" si="2"/>
        <v/>
      </c>
    </row>
    <row r="43" spans="1:9" s="93" customFormat="1" ht="16.5">
      <c r="A43" s="91"/>
      <c r="B43" s="92"/>
      <c r="C43" s="93" t="str">
        <f t="shared" si="0"/>
        <v/>
      </c>
      <c r="D43" s="94"/>
      <c r="E43" s="95"/>
      <c r="F43" s="93" t="str">
        <f t="shared" si="1"/>
        <v/>
      </c>
      <c r="G43" s="94"/>
      <c r="H43" s="95"/>
      <c r="I43" s="93" t="str">
        <f t="shared" si="2"/>
        <v/>
      </c>
    </row>
    <row r="44" spans="1:9" s="93" customFormat="1" ht="16.5">
      <c r="A44" s="91"/>
      <c r="B44" s="92"/>
      <c r="C44" s="93" t="str">
        <f t="shared" si="0"/>
        <v/>
      </c>
      <c r="D44" s="94"/>
      <c r="E44" s="95"/>
      <c r="F44" s="93" t="str">
        <f t="shared" si="1"/>
        <v/>
      </c>
      <c r="G44" s="94"/>
      <c r="H44" s="95"/>
      <c r="I44" s="93" t="str">
        <f t="shared" si="2"/>
        <v/>
      </c>
    </row>
    <row r="45" spans="1:9" s="93" customFormat="1" ht="16.5">
      <c r="A45" s="91"/>
      <c r="B45" s="92"/>
      <c r="C45" s="93" t="str">
        <f t="shared" si="0"/>
        <v/>
      </c>
      <c r="D45" s="94"/>
      <c r="E45" s="95"/>
      <c r="F45" s="93" t="str">
        <f t="shared" si="1"/>
        <v/>
      </c>
      <c r="G45" s="94"/>
      <c r="H45" s="95"/>
      <c r="I45" s="93" t="str">
        <f t="shared" si="2"/>
        <v/>
      </c>
    </row>
    <row r="46" spans="1:9" s="93" customFormat="1" ht="16.5">
      <c r="A46" s="91"/>
      <c r="B46" s="92"/>
      <c r="C46" s="93" t="str">
        <f t="shared" si="0"/>
        <v/>
      </c>
      <c r="D46" s="94"/>
      <c r="E46" s="95"/>
      <c r="F46" s="93" t="str">
        <f t="shared" si="1"/>
        <v/>
      </c>
      <c r="G46" s="94"/>
      <c r="H46" s="95"/>
      <c r="I46" s="93" t="str">
        <f t="shared" si="2"/>
        <v/>
      </c>
    </row>
    <row r="47" spans="1:9" s="93" customFormat="1" ht="16.5">
      <c r="A47" s="91"/>
      <c r="B47" s="92"/>
      <c r="C47" s="93" t="str">
        <f t="shared" si="0"/>
        <v/>
      </c>
      <c r="D47" s="94"/>
      <c r="E47" s="95"/>
      <c r="F47" s="93" t="str">
        <f t="shared" si="1"/>
        <v/>
      </c>
      <c r="G47" s="94"/>
      <c r="H47" s="95"/>
      <c r="I47" s="93" t="str">
        <f t="shared" si="2"/>
        <v/>
      </c>
    </row>
    <row r="48" spans="1:9" s="93" customFormat="1" ht="16.5">
      <c r="A48" s="91"/>
      <c r="B48" s="92"/>
      <c r="C48" s="93" t="str">
        <f t="shared" si="0"/>
        <v/>
      </c>
      <c r="D48" s="94"/>
      <c r="E48" s="95"/>
      <c r="F48" s="93" t="str">
        <f t="shared" si="1"/>
        <v/>
      </c>
      <c r="G48" s="94"/>
      <c r="H48" s="95"/>
      <c r="I48" s="93" t="str">
        <f t="shared" si="2"/>
        <v/>
      </c>
    </row>
    <row r="49" spans="1:9" s="93" customFormat="1" ht="16.5">
      <c r="A49" s="91"/>
      <c r="B49" s="92"/>
      <c r="C49" s="93" t="str">
        <f t="shared" si="0"/>
        <v/>
      </c>
      <c r="D49" s="94"/>
      <c r="E49" s="95"/>
      <c r="F49" s="93" t="str">
        <f t="shared" si="1"/>
        <v/>
      </c>
      <c r="G49" s="94"/>
      <c r="H49" s="95"/>
      <c r="I49" s="93" t="str">
        <f t="shared" si="2"/>
        <v/>
      </c>
    </row>
    <row r="50" spans="1:9" s="93" customFormat="1" ht="16.5">
      <c r="A50" s="91"/>
      <c r="B50" s="92"/>
      <c r="C50" s="93" t="str">
        <f t="shared" si="0"/>
        <v/>
      </c>
      <c r="D50" s="94"/>
      <c r="E50" s="95"/>
      <c r="F50" s="93" t="str">
        <f t="shared" si="1"/>
        <v/>
      </c>
      <c r="G50" s="94"/>
      <c r="H50" s="95"/>
      <c r="I50" s="93" t="str">
        <f t="shared" si="2"/>
        <v/>
      </c>
    </row>
    <row r="51" spans="1:9" s="93" customFormat="1" ht="16.5">
      <c r="A51" s="91"/>
      <c r="B51" s="92"/>
      <c r="C51" s="93" t="str">
        <f t="shared" si="0"/>
        <v/>
      </c>
      <c r="D51" s="94"/>
      <c r="E51" s="95"/>
      <c r="F51" s="93" t="str">
        <f t="shared" si="1"/>
        <v/>
      </c>
      <c r="G51" s="94"/>
      <c r="H51" s="95"/>
      <c r="I51" s="93" t="str">
        <f t="shared" si="2"/>
        <v/>
      </c>
    </row>
    <row r="52" spans="1:9" s="93" customFormat="1" ht="16.5">
      <c r="A52" s="91"/>
      <c r="B52" s="92"/>
      <c r="C52" s="93" t="str">
        <f t="shared" si="0"/>
        <v/>
      </c>
      <c r="D52" s="94"/>
      <c r="E52" s="95"/>
      <c r="F52" s="93" t="str">
        <f t="shared" si="1"/>
        <v/>
      </c>
      <c r="G52" s="94"/>
      <c r="H52" s="95"/>
      <c r="I52" s="93" t="str">
        <f t="shared" si="2"/>
        <v/>
      </c>
    </row>
    <row r="53" spans="1:9" s="93" customFormat="1" ht="16.5">
      <c r="A53" s="91"/>
      <c r="B53" s="92"/>
      <c r="C53" s="93" t="str">
        <f t="shared" si="0"/>
        <v/>
      </c>
      <c r="D53" s="94"/>
      <c r="E53" s="95"/>
      <c r="F53" s="93" t="str">
        <f t="shared" si="1"/>
        <v/>
      </c>
      <c r="G53" s="94"/>
      <c r="H53" s="95"/>
      <c r="I53" s="93" t="str">
        <f t="shared" si="2"/>
        <v/>
      </c>
    </row>
    <row r="54" spans="1:9" s="93" customFormat="1" ht="16.5">
      <c r="A54" s="91"/>
      <c r="B54" s="92"/>
      <c r="C54" s="93" t="str">
        <f t="shared" si="0"/>
        <v/>
      </c>
      <c r="D54" s="94"/>
      <c r="E54" s="95"/>
      <c r="F54" s="93" t="str">
        <f t="shared" si="1"/>
        <v/>
      </c>
      <c r="G54" s="94"/>
      <c r="H54" s="95"/>
      <c r="I54" s="93" t="str">
        <f t="shared" si="2"/>
        <v/>
      </c>
    </row>
    <row r="55" spans="1:9" s="93" customFormat="1" ht="16.5">
      <c r="A55" s="91"/>
      <c r="B55" s="92"/>
      <c r="C55" s="93" t="str">
        <f t="shared" si="0"/>
        <v/>
      </c>
      <c r="D55" s="94"/>
      <c r="E55" s="95"/>
      <c r="F55" s="93" t="str">
        <f t="shared" si="1"/>
        <v/>
      </c>
      <c r="G55" s="94"/>
      <c r="H55" s="95"/>
      <c r="I55" s="93" t="str">
        <f t="shared" si="2"/>
        <v/>
      </c>
    </row>
    <row r="56" spans="1:9" s="93" customFormat="1" ht="16.5">
      <c r="A56" s="91"/>
      <c r="B56" s="92"/>
      <c r="C56" s="93" t="str">
        <f t="shared" si="0"/>
        <v/>
      </c>
      <c r="D56" s="94"/>
      <c r="E56" s="95"/>
      <c r="F56" s="93" t="str">
        <f t="shared" si="1"/>
        <v/>
      </c>
      <c r="G56" s="94"/>
      <c r="H56" s="95"/>
      <c r="I56" s="93" t="str">
        <f t="shared" si="2"/>
        <v/>
      </c>
    </row>
    <row r="57" spans="1:9" s="93" customFormat="1" ht="16.5">
      <c r="A57" s="91"/>
      <c r="B57" s="92"/>
      <c r="C57" s="93" t="str">
        <f t="shared" ref="C57:C120" si="3">IF(B57&gt;0,TEXT(B57,"(aaa)"),"")</f>
        <v/>
      </c>
      <c r="D57" s="94"/>
      <c r="E57" s="95"/>
      <c r="F57" s="93" t="str">
        <f t="shared" ref="F57:F120" si="4">IF(E57&gt;0,TEXT(E57,"(aaa)"),"")</f>
        <v/>
      </c>
      <c r="G57" s="94"/>
      <c r="H57" s="95"/>
      <c r="I57" s="93" t="str">
        <f t="shared" ref="I57:I120" si="5">IF(H57&gt;0,TEXT(H57,"(aaa)"),"")</f>
        <v/>
      </c>
    </row>
    <row r="58" spans="1:9" s="93" customFormat="1" ht="16.5">
      <c r="A58" s="91"/>
      <c r="B58" s="92"/>
      <c r="C58" s="93" t="str">
        <f t="shared" si="3"/>
        <v/>
      </c>
      <c r="D58" s="94"/>
      <c r="E58" s="95"/>
      <c r="F58" s="93" t="str">
        <f t="shared" si="4"/>
        <v/>
      </c>
      <c r="G58" s="94"/>
      <c r="H58" s="95"/>
      <c r="I58" s="93" t="str">
        <f t="shared" si="5"/>
        <v/>
      </c>
    </row>
    <row r="59" spans="1:9" s="93" customFormat="1" ht="16.5">
      <c r="A59" s="91"/>
      <c r="B59" s="92"/>
      <c r="C59" s="93" t="str">
        <f t="shared" si="3"/>
        <v/>
      </c>
      <c r="D59" s="94"/>
      <c r="E59" s="95"/>
      <c r="F59" s="93" t="str">
        <f t="shared" si="4"/>
        <v/>
      </c>
      <c r="G59" s="94"/>
      <c r="H59" s="95"/>
      <c r="I59" s="93" t="str">
        <f t="shared" si="5"/>
        <v/>
      </c>
    </row>
    <row r="60" spans="1:9" s="93" customFormat="1" ht="16.5">
      <c r="A60" s="91"/>
      <c r="B60" s="92"/>
      <c r="C60" s="93" t="str">
        <f t="shared" si="3"/>
        <v/>
      </c>
      <c r="D60" s="94"/>
      <c r="E60" s="95"/>
      <c r="F60" s="93" t="str">
        <f t="shared" si="4"/>
        <v/>
      </c>
      <c r="G60" s="94"/>
      <c r="H60" s="95"/>
      <c r="I60" s="93" t="str">
        <f t="shared" si="5"/>
        <v/>
      </c>
    </row>
    <row r="61" spans="1:9" s="93" customFormat="1" ht="16.5">
      <c r="A61" s="91"/>
      <c r="B61" s="92"/>
      <c r="C61" s="93" t="str">
        <f t="shared" si="3"/>
        <v/>
      </c>
      <c r="D61" s="94"/>
      <c r="E61" s="95"/>
      <c r="F61" s="93" t="str">
        <f t="shared" si="4"/>
        <v/>
      </c>
      <c r="G61" s="94"/>
      <c r="H61" s="95"/>
      <c r="I61" s="93" t="str">
        <f t="shared" si="5"/>
        <v/>
      </c>
    </row>
    <row r="62" spans="1:9" s="93" customFormat="1" ht="16.5">
      <c r="A62" s="91"/>
      <c r="B62" s="92"/>
      <c r="C62" s="93" t="str">
        <f t="shared" si="3"/>
        <v/>
      </c>
      <c r="D62" s="94"/>
      <c r="E62" s="95"/>
      <c r="F62" s="93" t="str">
        <f t="shared" si="4"/>
        <v/>
      </c>
      <c r="G62" s="94"/>
      <c r="H62" s="95"/>
      <c r="I62" s="93" t="str">
        <f t="shared" si="5"/>
        <v/>
      </c>
    </row>
    <row r="63" spans="1:9" s="93" customFormat="1" ht="16.5">
      <c r="A63" s="91"/>
      <c r="B63" s="92"/>
      <c r="C63" s="93" t="str">
        <f t="shared" si="3"/>
        <v/>
      </c>
      <c r="D63" s="94"/>
      <c r="E63" s="95"/>
      <c r="F63" s="93" t="str">
        <f t="shared" si="4"/>
        <v/>
      </c>
      <c r="G63" s="94"/>
      <c r="H63" s="95"/>
      <c r="I63" s="93" t="str">
        <f t="shared" si="5"/>
        <v/>
      </c>
    </row>
    <row r="64" spans="1:9" s="93" customFormat="1" ht="16.5">
      <c r="A64" s="91"/>
      <c r="B64" s="92"/>
      <c r="C64" s="93" t="str">
        <f t="shared" si="3"/>
        <v/>
      </c>
      <c r="D64" s="94"/>
      <c r="E64" s="95"/>
      <c r="F64" s="93" t="str">
        <f t="shared" si="4"/>
        <v/>
      </c>
      <c r="G64" s="94"/>
      <c r="H64" s="95"/>
      <c r="I64" s="93" t="str">
        <f t="shared" si="5"/>
        <v/>
      </c>
    </row>
    <row r="65" spans="1:9" s="93" customFormat="1" ht="16.5">
      <c r="A65" s="91"/>
      <c r="B65" s="92"/>
      <c r="C65" s="93" t="str">
        <f t="shared" si="3"/>
        <v/>
      </c>
      <c r="D65" s="94"/>
      <c r="E65" s="95"/>
      <c r="F65" s="93" t="str">
        <f t="shared" si="4"/>
        <v/>
      </c>
      <c r="G65" s="94"/>
      <c r="H65" s="95"/>
      <c r="I65" s="93" t="str">
        <f t="shared" si="5"/>
        <v/>
      </c>
    </row>
    <row r="66" spans="1:9" s="93" customFormat="1" ht="16.5">
      <c r="A66" s="91"/>
      <c r="B66" s="92"/>
      <c r="C66" s="93" t="str">
        <f t="shared" si="3"/>
        <v/>
      </c>
      <c r="D66" s="94"/>
      <c r="E66" s="95"/>
      <c r="F66" s="93" t="str">
        <f t="shared" si="4"/>
        <v/>
      </c>
      <c r="G66" s="94"/>
      <c r="H66" s="95"/>
      <c r="I66" s="93" t="str">
        <f t="shared" si="5"/>
        <v/>
      </c>
    </row>
    <row r="67" spans="1:9" s="93" customFormat="1" ht="16.5">
      <c r="A67" s="91"/>
      <c r="B67" s="92"/>
      <c r="C67" s="93" t="str">
        <f t="shared" si="3"/>
        <v/>
      </c>
      <c r="D67" s="94"/>
      <c r="E67" s="95"/>
      <c r="F67" s="93" t="str">
        <f t="shared" si="4"/>
        <v/>
      </c>
      <c r="G67" s="94"/>
      <c r="H67" s="95"/>
      <c r="I67" s="93" t="str">
        <f t="shared" si="5"/>
        <v/>
      </c>
    </row>
    <row r="68" spans="1:9" s="93" customFormat="1" ht="16.5">
      <c r="A68" s="91"/>
      <c r="B68" s="92"/>
      <c r="C68" s="93" t="str">
        <f t="shared" si="3"/>
        <v/>
      </c>
      <c r="D68" s="94"/>
      <c r="E68" s="95"/>
      <c r="F68" s="93" t="str">
        <f t="shared" si="4"/>
        <v/>
      </c>
      <c r="G68" s="94"/>
      <c r="H68" s="95"/>
      <c r="I68" s="93" t="str">
        <f t="shared" si="5"/>
        <v/>
      </c>
    </row>
    <row r="69" spans="1:9" s="93" customFormat="1" ht="16.5">
      <c r="A69" s="91"/>
      <c r="B69" s="92"/>
      <c r="C69" s="93" t="str">
        <f t="shared" si="3"/>
        <v/>
      </c>
      <c r="D69" s="94"/>
      <c r="E69" s="95"/>
      <c r="F69" s="93" t="str">
        <f t="shared" si="4"/>
        <v/>
      </c>
      <c r="G69" s="94"/>
      <c r="H69" s="95"/>
      <c r="I69" s="93" t="str">
        <f t="shared" si="5"/>
        <v/>
      </c>
    </row>
    <row r="70" spans="1:9" s="93" customFormat="1" ht="16.5">
      <c r="A70" s="91"/>
      <c r="B70" s="92"/>
      <c r="C70" s="93" t="str">
        <f t="shared" si="3"/>
        <v/>
      </c>
      <c r="D70" s="94"/>
      <c r="E70" s="95"/>
      <c r="F70" s="93" t="str">
        <f t="shared" si="4"/>
        <v/>
      </c>
      <c r="G70" s="94"/>
      <c r="H70" s="95"/>
      <c r="I70" s="93" t="str">
        <f t="shared" si="5"/>
        <v/>
      </c>
    </row>
    <row r="71" spans="1:9" s="93" customFormat="1" ht="16.5">
      <c r="A71" s="91"/>
      <c r="B71" s="92"/>
      <c r="C71" s="93" t="str">
        <f t="shared" si="3"/>
        <v/>
      </c>
      <c r="D71" s="94"/>
      <c r="E71" s="95"/>
      <c r="F71" s="93" t="str">
        <f t="shared" si="4"/>
        <v/>
      </c>
      <c r="G71" s="94"/>
      <c r="H71" s="95"/>
      <c r="I71" s="93" t="str">
        <f t="shared" si="5"/>
        <v/>
      </c>
    </row>
    <row r="72" spans="1:9" s="93" customFormat="1" ht="16.5">
      <c r="A72" s="91"/>
      <c r="B72" s="92"/>
      <c r="C72" s="93" t="str">
        <f t="shared" si="3"/>
        <v/>
      </c>
      <c r="D72" s="94"/>
      <c r="E72" s="95"/>
      <c r="F72" s="93" t="str">
        <f t="shared" si="4"/>
        <v/>
      </c>
      <c r="G72" s="94"/>
      <c r="H72" s="95"/>
      <c r="I72" s="93" t="str">
        <f t="shared" si="5"/>
        <v/>
      </c>
    </row>
    <row r="73" spans="1:9" s="93" customFormat="1" ht="16.5">
      <c r="A73" s="91"/>
      <c r="B73" s="92"/>
      <c r="C73" s="93" t="str">
        <f t="shared" si="3"/>
        <v/>
      </c>
      <c r="D73" s="94"/>
      <c r="E73" s="95"/>
      <c r="F73" s="93" t="str">
        <f t="shared" si="4"/>
        <v/>
      </c>
      <c r="G73" s="94"/>
      <c r="H73" s="95"/>
      <c r="I73" s="93" t="str">
        <f t="shared" si="5"/>
        <v/>
      </c>
    </row>
    <row r="74" spans="1:9" s="93" customFormat="1" ht="16.5">
      <c r="A74" s="91"/>
      <c r="B74" s="92"/>
      <c r="C74" s="93" t="str">
        <f t="shared" si="3"/>
        <v/>
      </c>
      <c r="D74" s="94"/>
      <c r="E74" s="95"/>
      <c r="F74" s="93" t="str">
        <f t="shared" si="4"/>
        <v/>
      </c>
      <c r="G74" s="94"/>
      <c r="H74" s="95"/>
      <c r="I74" s="93" t="str">
        <f t="shared" si="5"/>
        <v/>
      </c>
    </row>
    <row r="75" spans="1:9" s="93" customFormat="1" ht="16.5">
      <c r="A75" s="91"/>
      <c r="B75" s="92"/>
      <c r="C75" s="93" t="str">
        <f t="shared" si="3"/>
        <v/>
      </c>
      <c r="D75" s="94"/>
      <c r="E75" s="95"/>
      <c r="F75" s="93" t="str">
        <f t="shared" si="4"/>
        <v/>
      </c>
      <c r="G75" s="94"/>
      <c r="H75" s="95"/>
      <c r="I75" s="93" t="str">
        <f t="shared" si="5"/>
        <v/>
      </c>
    </row>
    <row r="76" spans="1:9" s="93" customFormat="1" ht="16.5">
      <c r="A76" s="91"/>
      <c r="B76" s="92"/>
      <c r="C76" s="93" t="str">
        <f t="shared" si="3"/>
        <v/>
      </c>
      <c r="D76" s="94"/>
      <c r="E76" s="95"/>
      <c r="F76" s="93" t="str">
        <f t="shared" si="4"/>
        <v/>
      </c>
      <c r="G76" s="94"/>
      <c r="H76" s="95"/>
      <c r="I76" s="93" t="str">
        <f t="shared" si="5"/>
        <v/>
      </c>
    </row>
    <row r="77" spans="1:9" s="93" customFormat="1" ht="16.5">
      <c r="A77" s="91"/>
      <c r="B77" s="92"/>
      <c r="C77" s="93" t="str">
        <f t="shared" si="3"/>
        <v/>
      </c>
      <c r="D77" s="94"/>
      <c r="E77" s="95"/>
      <c r="F77" s="93" t="str">
        <f t="shared" si="4"/>
        <v/>
      </c>
      <c r="G77" s="94"/>
      <c r="H77" s="95"/>
      <c r="I77" s="93" t="str">
        <f t="shared" si="5"/>
        <v/>
      </c>
    </row>
    <row r="78" spans="1:9" s="93" customFormat="1" ht="16.5">
      <c r="A78" s="91"/>
      <c r="B78" s="92"/>
      <c r="C78" s="93" t="str">
        <f t="shared" si="3"/>
        <v/>
      </c>
      <c r="D78" s="94"/>
      <c r="E78" s="95"/>
      <c r="F78" s="93" t="str">
        <f t="shared" si="4"/>
        <v/>
      </c>
      <c r="G78" s="94"/>
      <c r="H78" s="95"/>
      <c r="I78" s="93" t="str">
        <f t="shared" si="5"/>
        <v/>
      </c>
    </row>
    <row r="79" spans="1:9" s="93" customFormat="1" ht="16.5">
      <c r="A79" s="91"/>
      <c r="B79" s="92"/>
      <c r="C79" s="93" t="str">
        <f t="shared" si="3"/>
        <v/>
      </c>
      <c r="D79" s="94"/>
      <c r="E79" s="95"/>
      <c r="F79" s="93" t="str">
        <f t="shared" si="4"/>
        <v/>
      </c>
      <c r="G79" s="94"/>
      <c r="H79" s="95"/>
      <c r="I79" s="93" t="str">
        <f t="shared" si="5"/>
        <v/>
      </c>
    </row>
    <row r="80" spans="1:9" s="93" customFormat="1" ht="16.5">
      <c r="A80" s="91"/>
      <c r="B80" s="92"/>
      <c r="C80" s="93" t="str">
        <f t="shared" si="3"/>
        <v/>
      </c>
      <c r="D80" s="94"/>
      <c r="E80" s="95"/>
      <c r="F80" s="93" t="str">
        <f t="shared" si="4"/>
        <v/>
      </c>
      <c r="G80" s="94"/>
      <c r="H80" s="95"/>
      <c r="I80" s="93" t="str">
        <f t="shared" si="5"/>
        <v/>
      </c>
    </row>
    <row r="81" spans="1:9" s="93" customFormat="1" ht="16.5">
      <c r="A81" s="91"/>
      <c r="B81" s="92"/>
      <c r="C81" s="93" t="str">
        <f t="shared" si="3"/>
        <v/>
      </c>
      <c r="D81" s="94"/>
      <c r="E81" s="95"/>
      <c r="F81" s="93" t="str">
        <f t="shared" si="4"/>
        <v/>
      </c>
      <c r="G81" s="94"/>
      <c r="H81" s="95"/>
      <c r="I81" s="93" t="str">
        <f t="shared" si="5"/>
        <v/>
      </c>
    </row>
    <row r="82" spans="1:9" s="93" customFormat="1" ht="16.5">
      <c r="A82" s="91"/>
      <c r="B82" s="92"/>
      <c r="C82" s="93" t="str">
        <f t="shared" si="3"/>
        <v/>
      </c>
      <c r="D82" s="94"/>
      <c r="E82" s="95"/>
      <c r="F82" s="93" t="str">
        <f t="shared" si="4"/>
        <v/>
      </c>
      <c r="G82" s="94"/>
      <c r="H82" s="95"/>
      <c r="I82" s="93" t="str">
        <f t="shared" si="5"/>
        <v/>
      </c>
    </row>
    <row r="83" spans="1:9" s="93" customFormat="1" ht="16.5">
      <c r="A83" s="91"/>
      <c r="B83" s="92"/>
      <c r="C83" s="93" t="str">
        <f t="shared" si="3"/>
        <v/>
      </c>
      <c r="D83" s="94"/>
      <c r="E83" s="95"/>
      <c r="F83" s="93" t="str">
        <f t="shared" si="4"/>
        <v/>
      </c>
      <c r="G83" s="94"/>
      <c r="H83" s="95"/>
      <c r="I83" s="93" t="str">
        <f t="shared" si="5"/>
        <v/>
      </c>
    </row>
    <row r="84" spans="1:9" s="93" customFormat="1" ht="16.5">
      <c r="A84" s="91"/>
      <c r="B84" s="92"/>
      <c r="C84" s="93" t="str">
        <f t="shared" si="3"/>
        <v/>
      </c>
      <c r="D84" s="94"/>
      <c r="E84" s="95"/>
      <c r="F84" s="93" t="str">
        <f t="shared" si="4"/>
        <v/>
      </c>
      <c r="G84" s="94"/>
      <c r="H84" s="95"/>
      <c r="I84" s="93" t="str">
        <f t="shared" si="5"/>
        <v/>
      </c>
    </row>
    <row r="85" spans="1:9" s="93" customFormat="1" ht="16.5">
      <c r="A85" s="91"/>
      <c r="B85" s="92"/>
      <c r="C85" s="93" t="str">
        <f t="shared" si="3"/>
        <v/>
      </c>
      <c r="D85" s="94"/>
      <c r="E85" s="95"/>
      <c r="F85" s="93" t="str">
        <f t="shared" si="4"/>
        <v/>
      </c>
      <c r="G85" s="94"/>
      <c r="H85" s="95"/>
      <c r="I85" s="93" t="str">
        <f t="shared" si="5"/>
        <v/>
      </c>
    </row>
    <row r="86" spans="1:9" s="93" customFormat="1" ht="16.5">
      <c r="A86" s="91"/>
      <c r="B86" s="92"/>
      <c r="C86" s="93" t="str">
        <f t="shared" si="3"/>
        <v/>
      </c>
      <c r="D86" s="94"/>
      <c r="E86" s="95"/>
      <c r="F86" s="93" t="str">
        <f t="shared" si="4"/>
        <v/>
      </c>
      <c r="G86" s="94"/>
      <c r="H86" s="95"/>
      <c r="I86" s="93" t="str">
        <f t="shared" si="5"/>
        <v/>
      </c>
    </row>
    <row r="87" spans="1:9" s="93" customFormat="1" ht="16.5">
      <c r="A87" s="91"/>
      <c r="B87" s="92"/>
      <c r="C87" s="93" t="str">
        <f t="shared" si="3"/>
        <v/>
      </c>
      <c r="D87" s="94"/>
      <c r="E87" s="95"/>
      <c r="F87" s="93" t="str">
        <f t="shared" si="4"/>
        <v/>
      </c>
      <c r="G87" s="94"/>
      <c r="H87" s="95"/>
      <c r="I87" s="93" t="str">
        <f t="shared" si="5"/>
        <v/>
      </c>
    </row>
    <row r="88" spans="1:9" s="93" customFormat="1" ht="16.5">
      <c r="A88" s="91"/>
      <c r="B88" s="92"/>
      <c r="C88" s="93" t="str">
        <f t="shared" si="3"/>
        <v/>
      </c>
      <c r="D88" s="94"/>
      <c r="E88" s="95"/>
      <c r="F88" s="93" t="str">
        <f t="shared" si="4"/>
        <v/>
      </c>
      <c r="G88" s="94"/>
      <c r="H88" s="95"/>
      <c r="I88" s="93" t="str">
        <f t="shared" si="5"/>
        <v/>
      </c>
    </row>
    <row r="89" spans="1:9" s="93" customFormat="1" ht="16.5">
      <c r="A89" s="91"/>
      <c r="B89" s="92"/>
      <c r="C89" s="93" t="str">
        <f t="shared" si="3"/>
        <v/>
      </c>
      <c r="D89" s="94"/>
      <c r="E89" s="95"/>
      <c r="F89" s="93" t="str">
        <f t="shared" si="4"/>
        <v/>
      </c>
      <c r="G89" s="94"/>
      <c r="H89" s="95"/>
      <c r="I89" s="93" t="str">
        <f t="shared" si="5"/>
        <v/>
      </c>
    </row>
    <row r="90" spans="1:9" s="93" customFormat="1" ht="16.5">
      <c r="A90" s="91"/>
      <c r="B90" s="92"/>
      <c r="C90" s="93" t="str">
        <f t="shared" si="3"/>
        <v/>
      </c>
      <c r="D90" s="94"/>
      <c r="E90" s="95"/>
      <c r="F90" s="93" t="str">
        <f t="shared" si="4"/>
        <v/>
      </c>
      <c r="G90" s="94"/>
      <c r="H90" s="95"/>
      <c r="I90" s="93" t="str">
        <f t="shared" si="5"/>
        <v/>
      </c>
    </row>
    <row r="91" spans="1:9" s="93" customFormat="1" ht="16.5">
      <c r="A91" s="91"/>
      <c r="B91" s="92"/>
      <c r="C91" s="93" t="str">
        <f t="shared" si="3"/>
        <v/>
      </c>
      <c r="D91" s="94"/>
      <c r="E91" s="95"/>
      <c r="F91" s="93" t="str">
        <f t="shared" si="4"/>
        <v/>
      </c>
      <c r="G91" s="94"/>
      <c r="H91" s="95"/>
      <c r="I91" s="93" t="str">
        <f t="shared" si="5"/>
        <v/>
      </c>
    </row>
    <row r="92" spans="1:9" s="93" customFormat="1" ht="16.5">
      <c r="A92" s="91"/>
      <c r="B92" s="92"/>
      <c r="C92" s="93" t="str">
        <f t="shared" si="3"/>
        <v/>
      </c>
      <c r="D92" s="94"/>
      <c r="E92" s="95"/>
      <c r="F92" s="93" t="str">
        <f t="shared" si="4"/>
        <v/>
      </c>
      <c r="G92" s="94"/>
      <c r="H92" s="95"/>
      <c r="I92" s="93" t="str">
        <f t="shared" si="5"/>
        <v/>
      </c>
    </row>
    <row r="93" spans="1:9" s="93" customFormat="1" ht="16.5">
      <c r="A93" s="91"/>
      <c r="B93" s="92"/>
      <c r="C93" s="93" t="str">
        <f t="shared" si="3"/>
        <v/>
      </c>
      <c r="D93" s="94"/>
      <c r="E93" s="95"/>
      <c r="F93" s="93" t="str">
        <f t="shared" si="4"/>
        <v/>
      </c>
      <c r="G93" s="94"/>
      <c r="H93" s="95"/>
      <c r="I93" s="93" t="str">
        <f t="shared" si="5"/>
        <v/>
      </c>
    </row>
    <row r="94" spans="1:9" s="93" customFormat="1" ht="16.5">
      <c r="A94" s="91"/>
      <c r="B94" s="92"/>
      <c r="C94" s="93" t="str">
        <f t="shared" si="3"/>
        <v/>
      </c>
      <c r="D94" s="94"/>
      <c r="E94" s="95"/>
      <c r="F94" s="93" t="str">
        <f t="shared" si="4"/>
        <v/>
      </c>
      <c r="G94" s="94"/>
      <c r="H94" s="95"/>
      <c r="I94" s="93" t="str">
        <f t="shared" si="5"/>
        <v/>
      </c>
    </row>
    <row r="95" spans="1:9" s="93" customFormat="1" ht="16.5">
      <c r="A95" s="91"/>
      <c r="B95" s="92"/>
      <c r="C95" s="93" t="str">
        <f t="shared" si="3"/>
        <v/>
      </c>
      <c r="D95" s="94"/>
      <c r="E95" s="95"/>
      <c r="F95" s="93" t="str">
        <f t="shared" si="4"/>
        <v/>
      </c>
      <c r="G95" s="94"/>
      <c r="H95" s="95"/>
      <c r="I95" s="93" t="str">
        <f t="shared" si="5"/>
        <v/>
      </c>
    </row>
    <row r="96" spans="1:9" s="93" customFormat="1" ht="16.5">
      <c r="A96" s="91"/>
      <c r="B96" s="92"/>
      <c r="C96" s="93" t="str">
        <f t="shared" si="3"/>
        <v/>
      </c>
      <c r="D96" s="94"/>
      <c r="E96" s="95"/>
      <c r="F96" s="93" t="str">
        <f t="shared" si="4"/>
        <v/>
      </c>
      <c r="G96" s="94"/>
      <c r="H96" s="95"/>
      <c r="I96" s="93" t="str">
        <f t="shared" si="5"/>
        <v/>
      </c>
    </row>
    <row r="97" spans="1:9" s="93" customFormat="1" ht="16.5">
      <c r="A97" s="91"/>
      <c r="B97" s="92"/>
      <c r="C97" s="93" t="str">
        <f t="shared" si="3"/>
        <v/>
      </c>
      <c r="D97" s="94"/>
      <c r="E97" s="95"/>
      <c r="F97" s="93" t="str">
        <f t="shared" si="4"/>
        <v/>
      </c>
      <c r="G97" s="94"/>
      <c r="H97" s="95"/>
      <c r="I97" s="93" t="str">
        <f t="shared" si="5"/>
        <v/>
      </c>
    </row>
    <row r="98" spans="1:9" s="93" customFormat="1" ht="16.5">
      <c r="A98" s="91"/>
      <c r="B98" s="92"/>
      <c r="C98" s="93" t="str">
        <f t="shared" si="3"/>
        <v/>
      </c>
      <c r="D98" s="94"/>
      <c r="E98" s="95"/>
      <c r="F98" s="93" t="str">
        <f t="shared" si="4"/>
        <v/>
      </c>
      <c r="G98" s="94"/>
      <c r="H98" s="95"/>
      <c r="I98" s="93" t="str">
        <f t="shared" si="5"/>
        <v/>
      </c>
    </row>
    <row r="99" spans="1:9" s="93" customFormat="1" ht="16.5">
      <c r="A99" s="91"/>
      <c r="B99" s="92"/>
      <c r="C99" s="93" t="str">
        <f t="shared" si="3"/>
        <v/>
      </c>
      <c r="D99" s="94"/>
      <c r="E99" s="95"/>
      <c r="F99" s="93" t="str">
        <f t="shared" si="4"/>
        <v/>
      </c>
      <c r="G99" s="94"/>
      <c r="H99" s="95"/>
      <c r="I99" s="93" t="str">
        <f t="shared" si="5"/>
        <v/>
      </c>
    </row>
    <row r="100" spans="1:9" s="93" customFormat="1" ht="16.5">
      <c r="A100" s="91"/>
      <c r="B100" s="92"/>
      <c r="C100" s="93" t="str">
        <f t="shared" si="3"/>
        <v/>
      </c>
      <c r="D100" s="94"/>
      <c r="E100" s="95"/>
      <c r="F100" s="93" t="str">
        <f t="shared" si="4"/>
        <v/>
      </c>
      <c r="G100" s="94"/>
      <c r="H100" s="95"/>
      <c r="I100" s="93" t="str">
        <f t="shared" si="5"/>
        <v/>
      </c>
    </row>
    <row r="101" spans="1:9" s="93" customFormat="1" ht="16.5">
      <c r="A101" s="91"/>
      <c r="B101" s="92"/>
      <c r="C101" s="93" t="str">
        <f t="shared" si="3"/>
        <v/>
      </c>
      <c r="D101" s="94"/>
      <c r="E101" s="95"/>
      <c r="F101" s="93" t="str">
        <f t="shared" si="4"/>
        <v/>
      </c>
      <c r="G101" s="94"/>
      <c r="H101" s="95"/>
      <c r="I101" s="93" t="str">
        <f t="shared" si="5"/>
        <v/>
      </c>
    </row>
    <row r="102" spans="1:9" s="93" customFormat="1" ht="16.5">
      <c r="A102" s="91"/>
      <c r="B102" s="92"/>
      <c r="C102" s="93" t="str">
        <f t="shared" si="3"/>
        <v/>
      </c>
      <c r="D102" s="94"/>
      <c r="E102" s="95"/>
      <c r="F102" s="93" t="str">
        <f t="shared" si="4"/>
        <v/>
      </c>
      <c r="G102" s="94"/>
      <c r="H102" s="95"/>
      <c r="I102" s="93" t="str">
        <f t="shared" si="5"/>
        <v/>
      </c>
    </row>
    <row r="103" spans="1:9" s="93" customFormat="1" ht="16.5">
      <c r="A103" s="91"/>
      <c r="B103" s="92"/>
      <c r="C103" s="93" t="str">
        <f t="shared" si="3"/>
        <v/>
      </c>
      <c r="D103" s="94"/>
      <c r="E103" s="95"/>
      <c r="F103" s="93" t="str">
        <f t="shared" si="4"/>
        <v/>
      </c>
      <c r="G103" s="94"/>
      <c r="H103" s="95"/>
      <c r="I103" s="93" t="str">
        <f t="shared" si="5"/>
        <v/>
      </c>
    </row>
    <row r="104" spans="1:9" s="93" customFormat="1" ht="16.5">
      <c r="A104" s="91"/>
      <c r="B104" s="92"/>
      <c r="C104" s="93" t="str">
        <f t="shared" si="3"/>
        <v/>
      </c>
      <c r="D104" s="94"/>
      <c r="E104" s="95"/>
      <c r="F104" s="93" t="str">
        <f t="shared" si="4"/>
        <v/>
      </c>
      <c r="G104" s="94"/>
      <c r="H104" s="95"/>
      <c r="I104" s="93" t="str">
        <f t="shared" si="5"/>
        <v/>
      </c>
    </row>
    <row r="105" spans="1:9" s="93" customFormat="1" ht="16.5">
      <c r="A105" s="91"/>
      <c r="B105" s="92"/>
      <c r="C105" s="93" t="str">
        <f t="shared" si="3"/>
        <v/>
      </c>
      <c r="D105" s="94"/>
      <c r="E105" s="95"/>
      <c r="F105" s="93" t="str">
        <f t="shared" si="4"/>
        <v/>
      </c>
      <c r="G105" s="94"/>
      <c r="H105" s="95"/>
      <c r="I105" s="93" t="str">
        <f t="shared" si="5"/>
        <v/>
      </c>
    </row>
    <row r="106" spans="1:9" s="93" customFormat="1" ht="16.5">
      <c r="A106" s="91"/>
      <c r="B106" s="92"/>
      <c r="C106" s="93" t="str">
        <f t="shared" si="3"/>
        <v/>
      </c>
      <c r="D106" s="94"/>
      <c r="E106" s="95"/>
      <c r="F106" s="93" t="str">
        <f t="shared" si="4"/>
        <v/>
      </c>
      <c r="G106" s="94"/>
      <c r="H106" s="95"/>
      <c r="I106" s="93" t="str">
        <f t="shared" si="5"/>
        <v/>
      </c>
    </row>
    <row r="107" spans="1:9" s="93" customFormat="1" ht="16.5">
      <c r="A107" s="91"/>
      <c r="B107" s="92"/>
      <c r="C107" s="93" t="str">
        <f t="shared" si="3"/>
        <v/>
      </c>
      <c r="D107" s="94"/>
      <c r="E107" s="95"/>
      <c r="F107" s="93" t="str">
        <f t="shared" si="4"/>
        <v/>
      </c>
      <c r="G107" s="94"/>
      <c r="H107" s="95"/>
      <c r="I107" s="93" t="str">
        <f t="shared" si="5"/>
        <v/>
      </c>
    </row>
    <row r="108" spans="1:9" s="93" customFormat="1" ht="16.5">
      <c r="A108" s="91"/>
      <c r="B108" s="92"/>
      <c r="C108" s="93" t="str">
        <f t="shared" si="3"/>
        <v/>
      </c>
      <c r="D108" s="94"/>
      <c r="E108" s="95"/>
      <c r="F108" s="93" t="str">
        <f t="shared" si="4"/>
        <v/>
      </c>
      <c r="G108" s="94"/>
      <c r="H108" s="95"/>
      <c r="I108" s="93" t="str">
        <f t="shared" si="5"/>
        <v/>
      </c>
    </row>
    <row r="109" spans="1:9" s="93" customFormat="1" ht="16.5">
      <c r="A109" s="91"/>
      <c r="B109" s="92"/>
      <c r="C109" s="93" t="str">
        <f t="shared" si="3"/>
        <v/>
      </c>
      <c r="D109" s="94"/>
      <c r="E109" s="95"/>
      <c r="F109" s="93" t="str">
        <f t="shared" si="4"/>
        <v/>
      </c>
      <c r="G109" s="94"/>
      <c r="H109" s="95"/>
      <c r="I109" s="93" t="str">
        <f t="shared" si="5"/>
        <v/>
      </c>
    </row>
    <row r="110" spans="1:9" s="93" customFormat="1" ht="16.5">
      <c r="A110" s="91"/>
      <c r="B110" s="92"/>
      <c r="C110" s="93" t="str">
        <f t="shared" si="3"/>
        <v/>
      </c>
      <c r="D110" s="94"/>
      <c r="E110" s="95"/>
      <c r="F110" s="93" t="str">
        <f t="shared" si="4"/>
        <v/>
      </c>
      <c r="G110" s="94"/>
      <c r="H110" s="95"/>
      <c r="I110" s="93" t="str">
        <f t="shared" si="5"/>
        <v/>
      </c>
    </row>
    <row r="111" spans="1:9" s="93" customFormat="1" ht="16.5">
      <c r="A111" s="91"/>
      <c r="B111" s="97"/>
      <c r="C111" s="93" t="str">
        <f t="shared" si="3"/>
        <v/>
      </c>
      <c r="D111" s="94"/>
      <c r="E111" s="95"/>
      <c r="F111" s="93" t="str">
        <f t="shared" si="4"/>
        <v/>
      </c>
      <c r="G111" s="94"/>
      <c r="H111" s="95"/>
      <c r="I111" s="93" t="str">
        <f t="shared" si="5"/>
        <v/>
      </c>
    </row>
    <row r="112" spans="1:9" s="93" customFormat="1" ht="16.5">
      <c r="A112" s="91"/>
      <c r="B112" s="92"/>
      <c r="C112" s="93" t="str">
        <f t="shared" si="3"/>
        <v/>
      </c>
      <c r="D112" s="94"/>
      <c r="E112" s="95"/>
      <c r="F112" s="93" t="str">
        <f t="shared" si="4"/>
        <v/>
      </c>
      <c r="G112" s="94"/>
      <c r="H112" s="95"/>
      <c r="I112" s="93" t="str">
        <f t="shared" si="5"/>
        <v/>
      </c>
    </row>
    <row r="113" spans="1:9" s="93" customFormat="1" ht="16.5">
      <c r="A113" s="91"/>
      <c r="B113" s="92"/>
      <c r="C113" s="93" t="str">
        <f t="shared" si="3"/>
        <v/>
      </c>
      <c r="D113" s="94"/>
      <c r="E113" s="95"/>
      <c r="F113" s="93" t="str">
        <f t="shared" si="4"/>
        <v/>
      </c>
      <c r="G113" s="94"/>
      <c r="H113" s="95"/>
      <c r="I113" s="93" t="str">
        <f t="shared" si="5"/>
        <v/>
      </c>
    </row>
    <row r="114" spans="1:9" s="93" customFormat="1" ht="16.5">
      <c r="A114" s="91"/>
      <c r="B114" s="92"/>
      <c r="C114" s="93" t="str">
        <f t="shared" si="3"/>
        <v/>
      </c>
      <c r="D114" s="94"/>
      <c r="E114" s="95"/>
      <c r="F114" s="93" t="str">
        <f t="shared" si="4"/>
        <v/>
      </c>
      <c r="G114" s="94"/>
      <c r="H114" s="95"/>
      <c r="I114" s="93" t="str">
        <f t="shared" si="5"/>
        <v/>
      </c>
    </row>
    <row r="115" spans="1:9" s="93" customFormat="1" ht="16.5">
      <c r="A115" s="91"/>
      <c r="B115" s="92"/>
      <c r="C115" s="93" t="str">
        <f t="shared" si="3"/>
        <v/>
      </c>
      <c r="D115" s="94"/>
      <c r="E115" s="95"/>
      <c r="F115" s="93" t="str">
        <f t="shared" si="4"/>
        <v/>
      </c>
      <c r="G115" s="94"/>
      <c r="H115" s="95"/>
      <c r="I115" s="93" t="str">
        <f t="shared" si="5"/>
        <v/>
      </c>
    </row>
    <row r="116" spans="1:9" s="93" customFormat="1" ht="16.5">
      <c r="A116" s="91"/>
      <c r="B116" s="92"/>
      <c r="C116" s="93" t="str">
        <f t="shared" si="3"/>
        <v/>
      </c>
      <c r="D116" s="94"/>
      <c r="E116" s="95"/>
      <c r="F116" s="93" t="str">
        <f t="shared" si="4"/>
        <v/>
      </c>
      <c r="G116" s="94"/>
      <c r="H116" s="95"/>
      <c r="I116" s="93" t="str">
        <f t="shared" si="5"/>
        <v/>
      </c>
    </row>
    <row r="117" spans="1:9" s="93" customFormat="1" ht="16.5">
      <c r="A117" s="91"/>
      <c r="B117" s="92"/>
      <c r="C117" s="93" t="str">
        <f t="shared" si="3"/>
        <v/>
      </c>
      <c r="D117" s="94"/>
      <c r="E117" s="95"/>
      <c r="F117" s="93" t="str">
        <f t="shared" si="4"/>
        <v/>
      </c>
      <c r="G117" s="94"/>
      <c r="H117" s="95"/>
      <c r="I117" s="93" t="str">
        <f t="shared" si="5"/>
        <v/>
      </c>
    </row>
    <row r="118" spans="1:9" s="93" customFormat="1" ht="16.5">
      <c r="A118" s="91"/>
      <c r="B118" s="92"/>
      <c r="C118" s="93" t="str">
        <f t="shared" si="3"/>
        <v/>
      </c>
      <c r="D118" s="94"/>
      <c r="E118" s="95"/>
      <c r="F118" s="93" t="str">
        <f t="shared" si="4"/>
        <v/>
      </c>
      <c r="G118" s="94"/>
      <c r="H118" s="95"/>
      <c r="I118" s="93" t="str">
        <f t="shared" si="5"/>
        <v/>
      </c>
    </row>
    <row r="119" spans="1:9" s="93" customFormat="1" ht="16.5">
      <c r="A119" s="91"/>
      <c r="B119" s="92"/>
      <c r="C119" s="93" t="str">
        <f t="shared" si="3"/>
        <v/>
      </c>
      <c r="D119" s="94"/>
      <c r="E119" s="95"/>
      <c r="F119" s="93" t="str">
        <f t="shared" si="4"/>
        <v/>
      </c>
      <c r="G119" s="94"/>
      <c r="H119" s="95"/>
      <c r="I119" s="93" t="str">
        <f t="shared" si="5"/>
        <v/>
      </c>
    </row>
    <row r="120" spans="1:9" s="93" customFormat="1" ht="16.5">
      <c r="A120" s="91"/>
      <c r="B120" s="92"/>
      <c r="C120" s="93" t="str">
        <f t="shared" si="3"/>
        <v/>
      </c>
      <c r="D120" s="94"/>
      <c r="E120" s="95"/>
      <c r="F120" s="93" t="str">
        <f t="shared" si="4"/>
        <v/>
      </c>
      <c r="G120" s="94"/>
      <c r="H120" s="95"/>
      <c r="I120" s="93" t="str">
        <f t="shared" si="5"/>
        <v/>
      </c>
    </row>
    <row r="121" spans="1:9" s="93" customFormat="1" ht="16.5">
      <c r="A121" s="91"/>
      <c r="B121" s="92"/>
      <c r="C121" s="93" t="str">
        <f t="shared" ref="C121:C184" si="6">IF(B121&gt;0,TEXT(B121,"(aaa)"),"")</f>
        <v/>
      </c>
      <c r="D121" s="94"/>
      <c r="E121" s="95"/>
      <c r="F121" s="93" t="str">
        <f t="shared" ref="F121:F184" si="7">IF(E121&gt;0,TEXT(E121,"(aaa)"),"")</f>
        <v/>
      </c>
      <c r="G121" s="94"/>
      <c r="H121" s="95"/>
      <c r="I121" s="93" t="str">
        <f t="shared" ref="I121:I184" si="8">IF(H121&gt;0,TEXT(H121,"(aaa)"),"")</f>
        <v/>
      </c>
    </row>
    <row r="122" spans="1:9" s="93" customFormat="1" ht="16.5">
      <c r="A122" s="91"/>
      <c r="B122" s="92"/>
      <c r="C122" s="93" t="str">
        <f t="shared" si="6"/>
        <v/>
      </c>
      <c r="D122" s="94"/>
      <c r="E122" s="95"/>
      <c r="F122" s="93" t="str">
        <f t="shared" si="7"/>
        <v/>
      </c>
      <c r="G122" s="94"/>
      <c r="H122" s="95"/>
      <c r="I122" s="93" t="str">
        <f t="shared" si="8"/>
        <v/>
      </c>
    </row>
    <row r="123" spans="1:9" s="93" customFormat="1" ht="16.5">
      <c r="A123" s="91"/>
      <c r="B123" s="92"/>
      <c r="C123" s="93" t="str">
        <f t="shared" si="6"/>
        <v/>
      </c>
      <c r="D123" s="94"/>
      <c r="E123" s="95"/>
      <c r="F123" s="93" t="str">
        <f t="shared" si="7"/>
        <v/>
      </c>
      <c r="G123" s="94"/>
      <c r="H123" s="95"/>
      <c r="I123" s="93" t="str">
        <f t="shared" si="8"/>
        <v/>
      </c>
    </row>
    <row r="124" spans="1:9" s="93" customFormat="1" ht="16.5">
      <c r="A124" s="91"/>
      <c r="B124" s="92"/>
      <c r="C124" s="93" t="str">
        <f t="shared" si="6"/>
        <v/>
      </c>
      <c r="D124" s="94"/>
      <c r="E124" s="95"/>
      <c r="F124" s="93" t="str">
        <f t="shared" si="7"/>
        <v/>
      </c>
      <c r="G124" s="94"/>
      <c r="H124" s="95"/>
      <c r="I124" s="93" t="str">
        <f t="shared" si="8"/>
        <v/>
      </c>
    </row>
    <row r="125" spans="1:9" s="93" customFormat="1" ht="16.5">
      <c r="A125" s="91"/>
      <c r="B125" s="92"/>
      <c r="C125" s="93" t="str">
        <f t="shared" si="6"/>
        <v/>
      </c>
      <c r="D125" s="94"/>
      <c r="E125" s="95"/>
      <c r="F125" s="93" t="str">
        <f t="shared" si="7"/>
        <v/>
      </c>
      <c r="G125" s="94"/>
      <c r="H125" s="95"/>
      <c r="I125" s="93" t="str">
        <f t="shared" si="8"/>
        <v/>
      </c>
    </row>
    <row r="126" spans="1:9" s="93" customFormat="1" ht="16.5">
      <c r="A126" s="91"/>
      <c r="B126" s="92"/>
      <c r="C126" s="93" t="str">
        <f t="shared" si="6"/>
        <v/>
      </c>
      <c r="D126" s="94"/>
      <c r="E126" s="95"/>
      <c r="F126" s="93" t="str">
        <f t="shared" si="7"/>
        <v/>
      </c>
      <c r="G126" s="94"/>
      <c r="H126" s="95"/>
      <c r="I126" s="93" t="str">
        <f t="shared" si="8"/>
        <v/>
      </c>
    </row>
    <row r="127" spans="1:9" s="93" customFormat="1" ht="16.5">
      <c r="A127" s="91"/>
      <c r="B127" s="92"/>
      <c r="C127" s="93" t="str">
        <f t="shared" si="6"/>
        <v/>
      </c>
      <c r="D127" s="94"/>
      <c r="E127" s="95"/>
      <c r="F127" s="93" t="str">
        <f t="shared" si="7"/>
        <v/>
      </c>
      <c r="G127" s="94"/>
      <c r="H127" s="95"/>
      <c r="I127" s="93" t="str">
        <f t="shared" si="8"/>
        <v/>
      </c>
    </row>
    <row r="128" spans="1:9" s="93" customFormat="1" ht="16.5">
      <c r="A128" s="91"/>
      <c r="B128" s="92"/>
      <c r="C128" s="93" t="str">
        <f t="shared" si="6"/>
        <v/>
      </c>
      <c r="D128" s="94"/>
      <c r="E128" s="95"/>
      <c r="F128" s="93" t="str">
        <f t="shared" si="7"/>
        <v/>
      </c>
      <c r="G128" s="94"/>
      <c r="H128" s="95"/>
      <c r="I128" s="93" t="str">
        <f t="shared" si="8"/>
        <v/>
      </c>
    </row>
    <row r="129" spans="1:9" s="93" customFormat="1" ht="16.5">
      <c r="A129" s="91"/>
      <c r="B129" s="92"/>
      <c r="C129" s="93" t="str">
        <f t="shared" si="6"/>
        <v/>
      </c>
      <c r="D129" s="94"/>
      <c r="E129" s="95"/>
      <c r="F129" s="93" t="str">
        <f t="shared" si="7"/>
        <v/>
      </c>
      <c r="G129" s="94"/>
      <c r="H129" s="95"/>
      <c r="I129" s="93" t="str">
        <f t="shared" si="8"/>
        <v/>
      </c>
    </row>
    <row r="130" spans="1:9" s="93" customFormat="1" ht="16.5">
      <c r="A130" s="91"/>
      <c r="B130" s="92"/>
      <c r="C130" s="93" t="str">
        <f t="shared" si="6"/>
        <v/>
      </c>
      <c r="D130" s="94"/>
      <c r="E130" s="95"/>
      <c r="F130" s="93" t="str">
        <f t="shared" si="7"/>
        <v/>
      </c>
      <c r="G130" s="94"/>
      <c r="H130" s="95"/>
      <c r="I130" s="93" t="str">
        <f t="shared" si="8"/>
        <v/>
      </c>
    </row>
    <row r="131" spans="1:9" s="93" customFormat="1" ht="16.5">
      <c r="A131" s="91"/>
      <c r="B131" s="92"/>
      <c r="C131" s="93" t="str">
        <f t="shared" si="6"/>
        <v/>
      </c>
      <c r="D131" s="94"/>
      <c r="E131" s="95"/>
      <c r="F131" s="93" t="str">
        <f t="shared" si="7"/>
        <v/>
      </c>
      <c r="G131" s="94"/>
      <c r="H131" s="95"/>
      <c r="I131" s="93" t="str">
        <f t="shared" si="8"/>
        <v/>
      </c>
    </row>
    <row r="132" spans="1:9" s="93" customFormat="1" ht="16.5">
      <c r="A132" s="91"/>
      <c r="B132" s="92"/>
      <c r="C132" s="93" t="str">
        <f t="shared" si="6"/>
        <v/>
      </c>
      <c r="D132" s="94"/>
      <c r="E132" s="95"/>
      <c r="F132" s="93" t="str">
        <f t="shared" si="7"/>
        <v/>
      </c>
      <c r="G132" s="94"/>
      <c r="H132" s="95"/>
      <c r="I132" s="93" t="str">
        <f t="shared" si="8"/>
        <v/>
      </c>
    </row>
    <row r="133" spans="1:9" s="93" customFormat="1" ht="16.5">
      <c r="A133" s="91"/>
      <c r="B133" s="92"/>
      <c r="C133" s="93" t="str">
        <f t="shared" si="6"/>
        <v/>
      </c>
      <c r="D133" s="94"/>
      <c r="E133" s="95"/>
      <c r="F133" s="93" t="str">
        <f t="shared" si="7"/>
        <v/>
      </c>
      <c r="G133" s="94"/>
      <c r="H133" s="95"/>
      <c r="I133" s="93" t="str">
        <f t="shared" si="8"/>
        <v/>
      </c>
    </row>
    <row r="134" spans="1:9" s="93" customFormat="1" ht="16.5">
      <c r="A134" s="91"/>
      <c r="B134" s="92"/>
      <c r="C134" s="93" t="str">
        <f t="shared" si="6"/>
        <v/>
      </c>
      <c r="D134" s="94"/>
      <c r="E134" s="95"/>
      <c r="F134" s="93" t="str">
        <f t="shared" si="7"/>
        <v/>
      </c>
      <c r="G134" s="94"/>
      <c r="H134" s="95"/>
      <c r="I134" s="93" t="str">
        <f t="shared" si="8"/>
        <v/>
      </c>
    </row>
    <row r="135" spans="1:9" s="93" customFormat="1" ht="16.5">
      <c r="A135" s="91"/>
      <c r="B135" s="92"/>
      <c r="C135" s="93" t="str">
        <f t="shared" si="6"/>
        <v/>
      </c>
      <c r="D135" s="94"/>
      <c r="E135" s="95"/>
      <c r="F135" s="93" t="str">
        <f t="shared" si="7"/>
        <v/>
      </c>
      <c r="G135" s="94"/>
      <c r="H135" s="95"/>
      <c r="I135" s="93" t="str">
        <f t="shared" si="8"/>
        <v/>
      </c>
    </row>
    <row r="136" spans="1:9" s="93" customFormat="1" ht="16.5">
      <c r="A136" s="91"/>
      <c r="B136" s="92"/>
      <c r="C136" s="93" t="str">
        <f t="shared" si="6"/>
        <v/>
      </c>
      <c r="D136" s="94"/>
      <c r="E136" s="95"/>
      <c r="F136" s="93" t="str">
        <f t="shared" si="7"/>
        <v/>
      </c>
      <c r="G136" s="94"/>
      <c r="H136" s="95"/>
      <c r="I136" s="93" t="str">
        <f t="shared" si="8"/>
        <v/>
      </c>
    </row>
    <row r="137" spans="1:9" s="93" customFormat="1" ht="16.5">
      <c r="A137" s="91"/>
      <c r="B137" s="92"/>
      <c r="C137" s="93" t="str">
        <f t="shared" si="6"/>
        <v/>
      </c>
      <c r="D137" s="94"/>
      <c r="E137" s="95"/>
      <c r="F137" s="93" t="str">
        <f t="shared" si="7"/>
        <v/>
      </c>
      <c r="G137" s="94"/>
      <c r="H137" s="95"/>
      <c r="I137" s="93" t="str">
        <f t="shared" si="8"/>
        <v/>
      </c>
    </row>
    <row r="138" spans="1:9" s="93" customFormat="1" ht="16.5">
      <c r="A138" s="91"/>
      <c r="B138" s="92"/>
      <c r="C138" s="93" t="str">
        <f t="shared" si="6"/>
        <v/>
      </c>
      <c r="D138" s="94"/>
      <c r="E138" s="95"/>
      <c r="F138" s="93" t="str">
        <f t="shared" si="7"/>
        <v/>
      </c>
      <c r="G138" s="94"/>
      <c r="H138" s="95"/>
      <c r="I138" s="93" t="str">
        <f t="shared" si="8"/>
        <v/>
      </c>
    </row>
    <row r="139" spans="1:9" s="93" customFormat="1" ht="16.5">
      <c r="A139" s="91"/>
      <c r="B139" s="92"/>
      <c r="C139" s="93" t="str">
        <f t="shared" si="6"/>
        <v/>
      </c>
      <c r="D139" s="94"/>
      <c r="E139" s="95"/>
      <c r="F139" s="93" t="str">
        <f t="shared" si="7"/>
        <v/>
      </c>
      <c r="G139" s="94"/>
      <c r="H139" s="95"/>
      <c r="I139" s="93" t="str">
        <f t="shared" si="8"/>
        <v/>
      </c>
    </row>
    <row r="140" spans="1:9" s="93" customFormat="1" ht="16.5">
      <c r="A140" s="91"/>
      <c r="B140" s="92"/>
      <c r="C140" s="93" t="str">
        <f t="shared" si="6"/>
        <v/>
      </c>
      <c r="D140" s="94"/>
      <c r="E140" s="95"/>
      <c r="F140" s="93" t="str">
        <f t="shared" si="7"/>
        <v/>
      </c>
      <c r="G140" s="94"/>
      <c r="H140" s="95"/>
      <c r="I140" s="93" t="str">
        <f t="shared" si="8"/>
        <v/>
      </c>
    </row>
    <row r="141" spans="1:9" s="93" customFormat="1" ht="16.5">
      <c r="A141" s="91"/>
      <c r="B141" s="92"/>
      <c r="C141" s="93" t="str">
        <f t="shared" si="6"/>
        <v/>
      </c>
      <c r="D141" s="94"/>
      <c r="E141" s="95"/>
      <c r="F141" s="93" t="str">
        <f t="shared" si="7"/>
        <v/>
      </c>
      <c r="G141" s="94"/>
      <c r="H141" s="95"/>
      <c r="I141" s="93" t="str">
        <f t="shared" si="8"/>
        <v/>
      </c>
    </row>
    <row r="142" spans="1:9" s="93" customFormat="1" ht="16.5">
      <c r="A142" s="91"/>
      <c r="B142" s="92"/>
      <c r="C142" s="93" t="str">
        <f t="shared" si="6"/>
        <v/>
      </c>
      <c r="D142" s="94"/>
      <c r="E142" s="95"/>
      <c r="F142" s="93" t="str">
        <f t="shared" si="7"/>
        <v/>
      </c>
      <c r="G142" s="94"/>
      <c r="H142" s="95"/>
      <c r="I142" s="93" t="str">
        <f t="shared" si="8"/>
        <v/>
      </c>
    </row>
    <row r="143" spans="1:9" s="93" customFormat="1" ht="16.5">
      <c r="A143" s="91"/>
      <c r="B143" s="92"/>
      <c r="C143" s="93" t="str">
        <f t="shared" si="6"/>
        <v/>
      </c>
      <c r="D143" s="94"/>
      <c r="E143" s="95"/>
      <c r="F143" s="93" t="str">
        <f t="shared" si="7"/>
        <v/>
      </c>
      <c r="G143" s="94"/>
      <c r="H143" s="95"/>
      <c r="I143" s="93" t="str">
        <f t="shared" si="8"/>
        <v/>
      </c>
    </row>
    <row r="144" spans="1:9" s="93" customFormat="1" ht="16.5">
      <c r="A144" s="91"/>
      <c r="B144" s="92"/>
      <c r="C144" s="93" t="str">
        <f t="shared" si="6"/>
        <v/>
      </c>
      <c r="D144" s="94"/>
      <c r="E144" s="95"/>
      <c r="F144" s="93" t="str">
        <f t="shared" si="7"/>
        <v/>
      </c>
      <c r="G144" s="94"/>
      <c r="H144" s="95"/>
      <c r="I144" s="93" t="str">
        <f t="shared" si="8"/>
        <v/>
      </c>
    </row>
    <row r="145" spans="1:9" s="93" customFormat="1" ht="16.5">
      <c r="A145" s="91"/>
      <c r="B145" s="92"/>
      <c r="C145" s="93" t="str">
        <f t="shared" si="6"/>
        <v/>
      </c>
      <c r="D145" s="94"/>
      <c r="E145" s="95"/>
      <c r="F145" s="93" t="str">
        <f t="shared" si="7"/>
        <v/>
      </c>
      <c r="G145" s="94"/>
      <c r="H145" s="95"/>
      <c r="I145" s="93" t="str">
        <f t="shared" si="8"/>
        <v/>
      </c>
    </row>
    <row r="146" spans="1:9" s="93" customFormat="1" ht="16.5">
      <c r="A146" s="91"/>
      <c r="B146" s="92"/>
      <c r="C146" s="93" t="str">
        <f t="shared" si="6"/>
        <v/>
      </c>
      <c r="D146" s="94"/>
      <c r="E146" s="95"/>
      <c r="F146" s="93" t="str">
        <f t="shared" si="7"/>
        <v/>
      </c>
      <c r="G146" s="94"/>
      <c r="H146" s="95"/>
      <c r="I146" s="93" t="str">
        <f t="shared" si="8"/>
        <v/>
      </c>
    </row>
    <row r="147" spans="1:9" s="93" customFormat="1" ht="16.5">
      <c r="A147" s="91"/>
      <c r="B147" s="92"/>
      <c r="C147" s="93" t="str">
        <f t="shared" si="6"/>
        <v/>
      </c>
      <c r="D147" s="94"/>
      <c r="E147" s="95"/>
      <c r="F147" s="93" t="str">
        <f t="shared" si="7"/>
        <v/>
      </c>
      <c r="G147" s="94"/>
      <c r="H147" s="95"/>
      <c r="I147" s="93" t="str">
        <f t="shared" si="8"/>
        <v/>
      </c>
    </row>
    <row r="148" spans="1:9" s="93" customFormat="1" ht="16.5">
      <c r="A148" s="91"/>
      <c r="B148" s="92"/>
      <c r="C148" s="93" t="str">
        <f t="shared" si="6"/>
        <v/>
      </c>
      <c r="D148" s="94"/>
      <c r="E148" s="95"/>
      <c r="F148" s="93" t="str">
        <f t="shared" si="7"/>
        <v/>
      </c>
      <c r="G148" s="94"/>
      <c r="H148" s="95"/>
      <c r="I148" s="93" t="str">
        <f t="shared" si="8"/>
        <v/>
      </c>
    </row>
    <row r="149" spans="1:9" s="93" customFormat="1" ht="16.5">
      <c r="A149" s="91"/>
      <c r="B149" s="92"/>
      <c r="C149" s="93" t="str">
        <f t="shared" si="6"/>
        <v/>
      </c>
      <c r="D149" s="94"/>
      <c r="E149" s="95"/>
      <c r="F149" s="93" t="str">
        <f t="shared" si="7"/>
        <v/>
      </c>
      <c r="G149" s="94"/>
      <c r="H149" s="95"/>
      <c r="I149" s="93" t="str">
        <f t="shared" si="8"/>
        <v/>
      </c>
    </row>
    <row r="150" spans="1:9" s="93" customFormat="1" ht="16.5">
      <c r="A150" s="91"/>
      <c r="B150" s="92"/>
      <c r="C150" s="93" t="str">
        <f t="shared" si="6"/>
        <v/>
      </c>
      <c r="D150" s="94"/>
      <c r="E150" s="95"/>
      <c r="F150" s="93" t="str">
        <f t="shared" si="7"/>
        <v/>
      </c>
      <c r="G150" s="94"/>
      <c r="H150" s="95"/>
      <c r="I150" s="93" t="str">
        <f t="shared" si="8"/>
        <v/>
      </c>
    </row>
    <row r="151" spans="1:9" s="93" customFormat="1" ht="16.5">
      <c r="A151" s="91"/>
      <c r="B151" s="92"/>
      <c r="C151" s="93" t="str">
        <f t="shared" si="6"/>
        <v/>
      </c>
      <c r="D151" s="94"/>
      <c r="E151" s="95"/>
      <c r="F151" s="93" t="str">
        <f t="shared" si="7"/>
        <v/>
      </c>
      <c r="G151" s="94"/>
      <c r="H151" s="95"/>
      <c r="I151" s="93" t="str">
        <f t="shared" si="8"/>
        <v/>
      </c>
    </row>
    <row r="152" spans="1:9" s="93" customFormat="1" ht="16.5">
      <c r="A152" s="91"/>
      <c r="B152" s="92"/>
      <c r="C152" s="93" t="str">
        <f t="shared" si="6"/>
        <v/>
      </c>
      <c r="D152" s="94"/>
      <c r="E152" s="95"/>
      <c r="F152" s="93" t="str">
        <f t="shared" si="7"/>
        <v/>
      </c>
      <c r="G152" s="94"/>
      <c r="H152" s="95"/>
      <c r="I152" s="93" t="str">
        <f t="shared" si="8"/>
        <v/>
      </c>
    </row>
    <row r="153" spans="1:9" s="93" customFormat="1" ht="16.5">
      <c r="A153" s="91"/>
      <c r="B153" s="92"/>
      <c r="C153" s="93" t="str">
        <f t="shared" si="6"/>
        <v/>
      </c>
      <c r="D153" s="94"/>
      <c r="E153" s="95"/>
      <c r="F153" s="93" t="str">
        <f t="shared" si="7"/>
        <v/>
      </c>
      <c r="G153" s="94"/>
      <c r="H153" s="95"/>
      <c r="I153" s="93" t="str">
        <f t="shared" si="8"/>
        <v/>
      </c>
    </row>
    <row r="154" spans="1:9" s="93" customFormat="1" ht="16.5">
      <c r="A154" s="91"/>
      <c r="B154" s="92"/>
      <c r="C154" s="93" t="str">
        <f t="shared" si="6"/>
        <v/>
      </c>
      <c r="D154" s="94"/>
      <c r="E154" s="95"/>
      <c r="F154" s="93" t="str">
        <f t="shared" si="7"/>
        <v/>
      </c>
      <c r="G154" s="94"/>
      <c r="H154" s="95"/>
      <c r="I154" s="93" t="str">
        <f t="shared" si="8"/>
        <v/>
      </c>
    </row>
    <row r="155" spans="1:9" s="93" customFormat="1" ht="16.5">
      <c r="A155" s="91"/>
      <c r="B155" s="92"/>
      <c r="C155" s="93" t="str">
        <f t="shared" si="6"/>
        <v/>
      </c>
      <c r="D155" s="94"/>
      <c r="E155" s="95"/>
      <c r="F155" s="93" t="str">
        <f t="shared" si="7"/>
        <v/>
      </c>
      <c r="G155" s="94"/>
      <c r="H155" s="95"/>
      <c r="I155" s="93" t="str">
        <f t="shared" si="8"/>
        <v/>
      </c>
    </row>
    <row r="156" spans="1:9" s="93" customFormat="1" ht="16.5">
      <c r="A156" s="91"/>
      <c r="B156" s="92"/>
      <c r="C156" s="93" t="str">
        <f t="shared" si="6"/>
        <v/>
      </c>
      <c r="D156" s="94"/>
      <c r="E156" s="95"/>
      <c r="F156" s="93" t="str">
        <f t="shared" si="7"/>
        <v/>
      </c>
      <c r="G156" s="94"/>
      <c r="H156" s="95"/>
      <c r="I156" s="93" t="str">
        <f t="shared" si="8"/>
        <v/>
      </c>
    </row>
    <row r="157" spans="1:9" s="93" customFormat="1" ht="16.5">
      <c r="A157" s="91"/>
      <c r="B157" s="92"/>
      <c r="C157" s="93" t="str">
        <f t="shared" si="6"/>
        <v/>
      </c>
      <c r="D157" s="94"/>
      <c r="E157" s="95"/>
      <c r="F157" s="93" t="str">
        <f t="shared" si="7"/>
        <v/>
      </c>
      <c r="G157" s="94"/>
      <c r="H157" s="95"/>
      <c r="I157" s="93" t="str">
        <f t="shared" si="8"/>
        <v/>
      </c>
    </row>
    <row r="158" spans="1:9" s="93" customFormat="1" ht="16.5">
      <c r="A158" s="91"/>
      <c r="B158" s="92"/>
      <c r="C158" s="93" t="str">
        <f t="shared" si="6"/>
        <v/>
      </c>
      <c r="D158" s="94"/>
      <c r="E158" s="95"/>
      <c r="F158" s="93" t="str">
        <f t="shared" si="7"/>
        <v/>
      </c>
      <c r="G158" s="94"/>
      <c r="H158" s="95"/>
      <c r="I158" s="93" t="str">
        <f t="shared" si="8"/>
        <v/>
      </c>
    </row>
    <row r="159" spans="1:9" s="93" customFormat="1" ht="16.5">
      <c r="A159" s="91"/>
      <c r="B159" s="92"/>
      <c r="C159" s="93" t="str">
        <f t="shared" si="6"/>
        <v/>
      </c>
      <c r="D159" s="94"/>
      <c r="E159" s="95"/>
      <c r="F159" s="93" t="str">
        <f t="shared" si="7"/>
        <v/>
      </c>
      <c r="G159" s="94"/>
      <c r="H159" s="95"/>
      <c r="I159" s="93" t="str">
        <f t="shared" si="8"/>
        <v/>
      </c>
    </row>
    <row r="160" spans="1:9" s="93" customFormat="1" ht="16.5">
      <c r="A160" s="91"/>
      <c r="B160" s="92"/>
      <c r="C160" s="93" t="str">
        <f t="shared" si="6"/>
        <v/>
      </c>
      <c r="D160" s="94"/>
      <c r="E160" s="95"/>
      <c r="F160" s="93" t="str">
        <f t="shared" si="7"/>
        <v/>
      </c>
      <c r="G160" s="94"/>
      <c r="H160" s="95"/>
      <c r="I160" s="93" t="str">
        <f t="shared" si="8"/>
        <v/>
      </c>
    </row>
    <row r="161" spans="1:9" s="93" customFormat="1" ht="16.5">
      <c r="A161" s="91"/>
      <c r="B161" s="92"/>
      <c r="C161" s="93" t="str">
        <f t="shared" si="6"/>
        <v/>
      </c>
      <c r="D161" s="94"/>
      <c r="E161" s="95"/>
      <c r="F161" s="93" t="str">
        <f t="shared" si="7"/>
        <v/>
      </c>
      <c r="G161" s="94"/>
      <c r="H161" s="95"/>
      <c r="I161" s="93" t="str">
        <f t="shared" si="8"/>
        <v/>
      </c>
    </row>
    <row r="162" spans="1:9" s="93" customFormat="1" ht="16.5">
      <c r="A162" s="91"/>
      <c r="B162" s="92"/>
      <c r="C162" s="93" t="str">
        <f t="shared" si="6"/>
        <v/>
      </c>
      <c r="D162" s="94"/>
      <c r="E162" s="95"/>
      <c r="F162" s="93" t="str">
        <f t="shared" si="7"/>
        <v/>
      </c>
      <c r="G162" s="94"/>
      <c r="H162" s="95"/>
      <c r="I162" s="93" t="str">
        <f t="shared" si="8"/>
        <v/>
      </c>
    </row>
    <row r="163" spans="1:9" s="93" customFormat="1" ht="16.5">
      <c r="A163" s="91"/>
      <c r="B163" s="92"/>
      <c r="C163" s="93" t="str">
        <f t="shared" si="6"/>
        <v/>
      </c>
      <c r="D163" s="94"/>
      <c r="E163" s="95"/>
      <c r="F163" s="93" t="str">
        <f t="shared" si="7"/>
        <v/>
      </c>
      <c r="G163" s="94"/>
      <c r="H163" s="95"/>
      <c r="I163" s="93" t="str">
        <f t="shared" si="8"/>
        <v/>
      </c>
    </row>
    <row r="164" spans="1:9" s="93" customFormat="1" ht="16.5">
      <c r="A164" s="91"/>
      <c r="B164" s="92"/>
      <c r="C164" s="93" t="str">
        <f t="shared" si="6"/>
        <v/>
      </c>
      <c r="D164" s="94"/>
      <c r="E164" s="95"/>
      <c r="F164" s="93" t="str">
        <f t="shared" si="7"/>
        <v/>
      </c>
      <c r="G164" s="94"/>
      <c r="H164" s="95"/>
      <c r="I164" s="93" t="str">
        <f t="shared" si="8"/>
        <v/>
      </c>
    </row>
    <row r="165" spans="1:9" s="93" customFormat="1" ht="16.5">
      <c r="A165" s="91"/>
      <c r="B165" s="92"/>
      <c r="C165" s="93" t="str">
        <f t="shared" si="6"/>
        <v/>
      </c>
      <c r="D165" s="94"/>
      <c r="E165" s="95"/>
      <c r="F165" s="93" t="str">
        <f t="shared" si="7"/>
        <v/>
      </c>
      <c r="G165" s="94"/>
      <c r="H165" s="95"/>
      <c r="I165" s="93" t="str">
        <f t="shared" si="8"/>
        <v/>
      </c>
    </row>
    <row r="166" spans="1:9" s="93" customFormat="1" ht="16.5">
      <c r="A166" s="91"/>
      <c r="B166" s="92"/>
      <c r="C166" s="93" t="str">
        <f t="shared" si="6"/>
        <v/>
      </c>
      <c r="D166" s="94"/>
      <c r="E166" s="95"/>
      <c r="F166" s="93" t="str">
        <f t="shared" si="7"/>
        <v/>
      </c>
      <c r="G166" s="94"/>
      <c r="H166" s="95"/>
      <c r="I166" s="93" t="str">
        <f t="shared" si="8"/>
        <v/>
      </c>
    </row>
    <row r="167" spans="1:9" s="93" customFormat="1" ht="16.5">
      <c r="A167" s="91"/>
      <c r="B167" s="92"/>
      <c r="C167" s="93" t="str">
        <f t="shared" si="6"/>
        <v/>
      </c>
      <c r="D167" s="94"/>
      <c r="E167" s="95"/>
      <c r="F167" s="93" t="str">
        <f t="shared" si="7"/>
        <v/>
      </c>
      <c r="G167" s="94"/>
      <c r="H167" s="95"/>
      <c r="I167" s="93" t="str">
        <f t="shared" si="8"/>
        <v/>
      </c>
    </row>
    <row r="168" spans="1:9" s="93" customFormat="1" ht="16.5">
      <c r="A168" s="91"/>
      <c r="B168" s="92"/>
      <c r="C168" s="93" t="str">
        <f t="shared" si="6"/>
        <v/>
      </c>
      <c r="D168" s="94"/>
      <c r="E168" s="95"/>
      <c r="F168" s="93" t="str">
        <f t="shared" si="7"/>
        <v/>
      </c>
      <c r="G168" s="94"/>
      <c r="H168" s="95"/>
      <c r="I168" s="93" t="str">
        <f t="shared" si="8"/>
        <v/>
      </c>
    </row>
    <row r="169" spans="1:9" s="93" customFormat="1" ht="16.5">
      <c r="A169" s="91"/>
      <c r="B169" s="92"/>
      <c r="C169" s="93" t="str">
        <f t="shared" si="6"/>
        <v/>
      </c>
      <c r="D169" s="94"/>
      <c r="E169" s="95"/>
      <c r="F169" s="93" t="str">
        <f t="shared" si="7"/>
        <v/>
      </c>
      <c r="G169" s="94"/>
      <c r="H169" s="95"/>
      <c r="I169" s="93" t="str">
        <f t="shared" si="8"/>
        <v/>
      </c>
    </row>
    <row r="170" spans="1:9" s="93" customFormat="1" ht="16.5">
      <c r="A170" s="91"/>
      <c r="B170" s="92"/>
      <c r="C170" s="93" t="str">
        <f t="shared" si="6"/>
        <v/>
      </c>
      <c r="D170" s="94"/>
      <c r="E170" s="95"/>
      <c r="F170" s="93" t="str">
        <f t="shared" si="7"/>
        <v/>
      </c>
      <c r="G170" s="94"/>
      <c r="H170" s="95"/>
      <c r="I170" s="93" t="str">
        <f t="shared" si="8"/>
        <v/>
      </c>
    </row>
    <row r="171" spans="1:9" s="93" customFormat="1" ht="16.5">
      <c r="A171" s="91"/>
      <c r="B171" s="92"/>
      <c r="C171" s="93" t="str">
        <f t="shared" si="6"/>
        <v/>
      </c>
      <c r="D171" s="94"/>
      <c r="E171" s="95"/>
      <c r="F171" s="93" t="str">
        <f t="shared" si="7"/>
        <v/>
      </c>
      <c r="G171" s="94"/>
      <c r="H171" s="95"/>
      <c r="I171" s="93" t="str">
        <f t="shared" si="8"/>
        <v/>
      </c>
    </row>
    <row r="172" spans="1:9" s="93" customFormat="1" ht="16.5">
      <c r="A172" s="91"/>
      <c r="B172" s="92"/>
      <c r="C172" s="93" t="str">
        <f t="shared" si="6"/>
        <v/>
      </c>
      <c r="D172" s="94"/>
      <c r="E172" s="95"/>
      <c r="F172" s="93" t="str">
        <f t="shared" si="7"/>
        <v/>
      </c>
      <c r="G172" s="94"/>
      <c r="H172" s="95"/>
      <c r="I172" s="93" t="str">
        <f t="shared" si="8"/>
        <v/>
      </c>
    </row>
    <row r="173" spans="1:9" s="93" customFormat="1" ht="16.5">
      <c r="A173" s="91"/>
      <c r="B173" s="92"/>
      <c r="C173" s="93" t="str">
        <f t="shared" si="6"/>
        <v/>
      </c>
      <c r="D173" s="94"/>
      <c r="E173" s="95"/>
      <c r="F173" s="93" t="str">
        <f t="shared" si="7"/>
        <v/>
      </c>
      <c r="G173" s="94"/>
      <c r="H173" s="95"/>
      <c r="I173" s="93" t="str">
        <f t="shared" si="8"/>
        <v/>
      </c>
    </row>
    <row r="174" spans="1:9" s="93" customFormat="1" ht="16.5">
      <c r="A174" s="91"/>
      <c r="B174" s="92"/>
      <c r="C174" s="93" t="str">
        <f t="shared" si="6"/>
        <v/>
      </c>
      <c r="D174" s="94"/>
      <c r="E174" s="95"/>
      <c r="F174" s="93" t="str">
        <f t="shared" si="7"/>
        <v/>
      </c>
      <c r="G174" s="94"/>
      <c r="H174" s="95"/>
      <c r="I174" s="93" t="str">
        <f t="shared" si="8"/>
        <v/>
      </c>
    </row>
    <row r="175" spans="1:9" s="93" customFormat="1" ht="16.5">
      <c r="A175" s="91"/>
      <c r="B175" s="92"/>
      <c r="C175" s="93" t="str">
        <f t="shared" si="6"/>
        <v/>
      </c>
      <c r="D175" s="94"/>
      <c r="E175" s="95"/>
      <c r="F175" s="93" t="str">
        <f t="shared" si="7"/>
        <v/>
      </c>
      <c r="G175" s="94"/>
      <c r="H175" s="95"/>
      <c r="I175" s="93" t="str">
        <f t="shared" si="8"/>
        <v/>
      </c>
    </row>
    <row r="176" spans="1:9" s="93" customFormat="1" ht="16.5">
      <c r="A176" s="91"/>
      <c r="B176" s="92"/>
      <c r="C176" s="93" t="str">
        <f t="shared" si="6"/>
        <v/>
      </c>
      <c r="D176" s="94"/>
      <c r="E176" s="95"/>
      <c r="F176" s="93" t="str">
        <f t="shared" si="7"/>
        <v/>
      </c>
      <c r="G176" s="94"/>
      <c r="H176" s="95"/>
      <c r="I176" s="93" t="str">
        <f t="shared" si="8"/>
        <v/>
      </c>
    </row>
    <row r="177" spans="1:9" s="93" customFormat="1" ht="16.5">
      <c r="A177" s="91"/>
      <c r="B177" s="92"/>
      <c r="C177" s="93" t="str">
        <f t="shared" si="6"/>
        <v/>
      </c>
      <c r="D177" s="94"/>
      <c r="E177" s="95"/>
      <c r="F177" s="93" t="str">
        <f t="shared" si="7"/>
        <v/>
      </c>
      <c r="G177" s="94"/>
      <c r="H177" s="95"/>
      <c r="I177" s="93" t="str">
        <f t="shared" si="8"/>
        <v/>
      </c>
    </row>
    <row r="178" spans="1:9" s="93" customFormat="1" ht="16.5">
      <c r="A178" s="91"/>
      <c r="B178" s="92"/>
      <c r="C178" s="93" t="str">
        <f t="shared" si="6"/>
        <v/>
      </c>
      <c r="D178" s="94"/>
      <c r="E178" s="95"/>
      <c r="F178" s="93" t="str">
        <f t="shared" si="7"/>
        <v/>
      </c>
      <c r="G178" s="94"/>
      <c r="H178" s="95"/>
      <c r="I178" s="93" t="str">
        <f t="shared" si="8"/>
        <v/>
      </c>
    </row>
    <row r="179" spans="1:9" s="93" customFormat="1" ht="16.5">
      <c r="A179" s="91"/>
      <c r="B179" s="92"/>
      <c r="C179" s="93" t="str">
        <f t="shared" si="6"/>
        <v/>
      </c>
      <c r="D179" s="94"/>
      <c r="E179" s="95"/>
      <c r="F179" s="93" t="str">
        <f t="shared" si="7"/>
        <v/>
      </c>
      <c r="G179" s="94"/>
      <c r="H179" s="95"/>
      <c r="I179" s="93" t="str">
        <f t="shared" si="8"/>
        <v/>
      </c>
    </row>
    <row r="180" spans="1:9" s="93" customFormat="1" ht="16.5">
      <c r="A180" s="91"/>
      <c r="B180" s="92"/>
      <c r="C180" s="93" t="str">
        <f t="shared" si="6"/>
        <v/>
      </c>
      <c r="D180" s="94"/>
      <c r="E180" s="95"/>
      <c r="F180" s="93" t="str">
        <f t="shared" si="7"/>
        <v/>
      </c>
      <c r="G180" s="94"/>
      <c r="H180" s="95"/>
      <c r="I180" s="93" t="str">
        <f t="shared" si="8"/>
        <v/>
      </c>
    </row>
    <row r="181" spans="1:9" s="93" customFormat="1" ht="16.5">
      <c r="A181" s="91"/>
      <c r="B181" s="92"/>
      <c r="C181" s="93" t="str">
        <f t="shared" si="6"/>
        <v/>
      </c>
      <c r="D181" s="94"/>
      <c r="E181" s="95"/>
      <c r="F181" s="93" t="str">
        <f t="shared" si="7"/>
        <v/>
      </c>
      <c r="G181" s="94"/>
      <c r="H181" s="95"/>
      <c r="I181" s="93" t="str">
        <f t="shared" si="8"/>
        <v/>
      </c>
    </row>
    <row r="182" spans="1:9" s="93" customFormat="1" ht="16.5">
      <c r="A182" s="91"/>
      <c r="B182" s="92"/>
      <c r="C182" s="93" t="str">
        <f t="shared" si="6"/>
        <v/>
      </c>
      <c r="D182" s="94"/>
      <c r="E182" s="95"/>
      <c r="F182" s="93" t="str">
        <f t="shared" si="7"/>
        <v/>
      </c>
      <c r="G182" s="94"/>
      <c r="H182" s="95"/>
      <c r="I182" s="93" t="str">
        <f t="shared" si="8"/>
        <v/>
      </c>
    </row>
    <row r="183" spans="1:9" s="93" customFormat="1" ht="16.5">
      <c r="A183" s="91"/>
      <c r="B183" s="92"/>
      <c r="C183" s="93" t="str">
        <f t="shared" si="6"/>
        <v/>
      </c>
      <c r="D183" s="94"/>
      <c r="E183" s="95"/>
      <c r="F183" s="93" t="str">
        <f t="shared" si="7"/>
        <v/>
      </c>
      <c r="G183" s="94"/>
      <c r="H183" s="95"/>
      <c r="I183" s="93" t="str">
        <f t="shared" si="8"/>
        <v/>
      </c>
    </row>
    <row r="184" spans="1:9" s="93" customFormat="1" ht="16.5">
      <c r="A184" s="91"/>
      <c r="B184" s="92"/>
      <c r="C184" s="93" t="str">
        <f t="shared" si="6"/>
        <v/>
      </c>
      <c r="D184" s="94"/>
      <c r="E184" s="95"/>
      <c r="F184" s="93" t="str">
        <f t="shared" si="7"/>
        <v/>
      </c>
      <c r="G184" s="94"/>
      <c r="H184" s="95"/>
      <c r="I184" s="93" t="str">
        <f t="shared" si="8"/>
        <v/>
      </c>
    </row>
    <row r="185" spans="1:9" s="93" customFormat="1" ht="16.5">
      <c r="A185" s="91"/>
      <c r="B185" s="92"/>
      <c r="C185" s="93" t="str">
        <f t="shared" ref="C185:C248" si="9">IF(B185&gt;0,TEXT(B185,"(aaa)"),"")</f>
        <v/>
      </c>
      <c r="D185" s="94"/>
      <c r="E185" s="95"/>
      <c r="F185" s="93" t="str">
        <f t="shared" ref="F185:F248" si="10">IF(E185&gt;0,TEXT(E185,"(aaa)"),"")</f>
        <v/>
      </c>
      <c r="G185" s="94"/>
      <c r="H185" s="95"/>
      <c r="I185" s="93" t="str">
        <f t="shared" ref="I185:I248" si="11">IF(H185&gt;0,TEXT(H185,"(aaa)"),"")</f>
        <v/>
      </c>
    </row>
    <row r="186" spans="1:9" s="93" customFormat="1" ht="16.5">
      <c r="A186" s="91"/>
      <c r="B186" s="92"/>
      <c r="C186" s="93" t="str">
        <f t="shared" si="9"/>
        <v/>
      </c>
      <c r="D186" s="94"/>
      <c r="E186" s="95"/>
      <c r="F186" s="93" t="str">
        <f t="shared" si="10"/>
        <v/>
      </c>
      <c r="G186" s="94"/>
      <c r="H186" s="95"/>
      <c r="I186" s="93" t="str">
        <f t="shared" si="11"/>
        <v/>
      </c>
    </row>
    <row r="187" spans="1:9" s="93" customFormat="1" ht="16.5">
      <c r="A187" s="91"/>
      <c r="B187" s="92"/>
      <c r="C187" s="93" t="str">
        <f t="shared" si="9"/>
        <v/>
      </c>
      <c r="D187" s="94"/>
      <c r="E187" s="95"/>
      <c r="F187" s="93" t="str">
        <f t="shared" si="10"/>
        <v/>
      </c>
      <c r="G187" s="94"/>
      <c r="H187" s="95"/>
      <c r="I187" s="93" t="str">
        <f t="shared" si="11"/>
        <v/>
      </c>
    </row>
    <row r="188" spans="1:9" s="93" customFormat="1" ht="16.5">
      <c r="A188" s="91"/>
      <c r="B188" s="92"/>
      <c r="C188" s="93" t="str">
        <f t="shared" si="9"/>
        <v/>
      </c>
      <c r="D188" s="94"/>
      <c r="E188" s="95"/>
      <c r="F188" s="93" t="str">
        <f t="shared" si="10"/>
        <v/>
      </c>
      <c r="G188" s="94"/>
      <c r="H188" s="95"/>
      <c r="I188" s="93" t="str">
        <f t="shared" si="11"/>
        <v/>
      </c>
    </row>
    <row r="189" spans="1:9" s="93" customFormat="1" ht="16.5">
      <c r="A189" s="91"/>
      <c r="B189" s="92"/>
      <c r="C189" s="93" t="str">
        <f t="shared" si="9"/>
        <v/>
      </c>
      <c r="D189" s="94"/>
      <c r="E189" s="95"/>
      <c r="F189" s="93" t="str">
        <f t="shared" si="10"/>
        <v/>
      </c>
      <c r="G189" s="94"/>
      <c r="H189" s="95"/>
      <c r="I189" s="93" t="str">
        <f t="shared" si="11"/>
        <v/>
      </c>
    </row>
    <row r="190" spans="1:9" s="93" customFormat="1" ht="16.5">
      <c r="A190" s="91"/>
      <c r="B190" s="92"/>
      <c r="C190" s="93" t="str">
        <f t="shared" si="9"/>
        <v/>
      </c>
      <c r="D190" s="94"/>
      <c r="E190" s="95"/>
      <c r="F190" s="93" t="str">
        <f t="shared" si="10"/>
        <v/>
      </c>
      <c r="G190" s="94"/>
      <c r="H190" s="95"/>
      <c r="I190" s="93" t="str">
        <f t="shared" si="11"/>
        <v/>
      </c>
    </row>
    <row r="191" spans="1:9" s="93" customFormat="1" ht="16.5">
      <c r="A191" s="91"/>
      <c r="B191" s="92"/>
      <c r="C191" s="93" t="str">
        <f t="shared" si="9"/>
        <v/>
      </c>
      <c r="D191" s="94"/>
      <c r="E191" s="95"/>
      <c r="F191" s="93" t="str">
        <f t="shared" si="10"/>
        <v/>
      </c>
      <c r="G191" s="94"/>
      <c r="H191" s="95"/>
      <c r="I191" s="93" t="str">
        <f t="shared" si="11"/>
        <v/>
      </c>
    </row>
    <row r="192" spans="1:9" s="93" customFormat="1" ht="16.5">
      <c r="A192" s="91"/>
      <c r="B192" s="92"/>
      <c r="C192" s="93" t="str">
        <f t="shared" si="9"/>
        <v/>
      </c>
      <c r="D192" s="94"/>
      <c r="E192" s="95"/>
      <c r="F192" s="93" t="str">
        <f t="shared" si="10"/>
        <v/>
      </c>
      <c r="G192" s="94"/>
      <c r="H192" s="95"/>
      <c r="I192" s="93" t="str">
        <f t="shared" si="11"/>
        <v/>
      </c>
    </row>
    <row r="193" spans="1:9" s="93" customFormat="1" ht="16.5">
      <c r="A193" s="91"/>
      <c r="B193" s="92"/>
      <c r="C193" s="93" t="str">
        <f t="shared" si="9"/>
        <v/>
      </c>
      <c r="D193" s="94"/>
      <c r="E193" s="95"/>
      <c r="F193" s="93" t="str">
        <f t="shared" si="10"/>
        <v/>
      </c>
      <c r="G193" s="94"/>
      <c r="H193" s="95"/>
      <c r="I193" s="93" t="str">
        <f t="shared" si="11"/>
        <v/>
      </c>
    </row>
    <row r="194" spans="1:9" s="93" customFormat="1" ht="16.5">
      <c r="A194" s="91"/>
      <c r="B194" s="92"/>
      <c r="C194" s="93" t="str">
        <f t="shared" si="9"/>
        <v/>
      </c>
      <c r="D194" s="94"/>
      <c r="E194" s="95"/>
      <c r="F194" s="93" t="str">
        <f t="shared" si="10"/>
        <v/>
      </c>
      <c r="G194" s="94"/>
      <c r="H194" s="95"/>
      <c r="I194" s="93" t="str">
        <f t="shared" si="11"/>
        <v/>
      </c>
    </row>
    <row r="195" spans="1:9" s="93" customFormat="1" ht="16.5">
      <c r="A195" s="91"/>
      <c r="B195" s="92"/>
      <c r="C195" s="93" t="str">
        <f t="shared" si="9"/>
        <v/>
      </c>
      <c r="D195" s="94"/>
      <c r="E195" s="95"/>
      <c r="F195" s="93" t="str">
        <f t="shared" si="10"/>
        <v/>
      </c>
      <c r="G195" s="94"/>
      <c r="H195" s="95"/>
      <c r="I195" s="93" t="str">
        <f t="shared" si="11"/>
        <v/>
      </c>
    </row>
    <row r="196" spans="1:9" s="93" customFormat="1" ht="16.5">
      <c r="A196" s="91"/>
      <c r="B196" s="92"/>
      <c r="C196" s="93" t="str">
        <f t="shared" si="9"/>
        <v/>
      </c>
      <c r="D196" s="94"/>
      <c r="E196" s="95"/>
      <c r="F196" s="93" t="str">
        <f t="shared" si="10"/>
        <v/>
      </c>
      <c r="G196" s="94"/>
      <c r="H196" s="95"/>
      <c r="I196" s="93" t="str">
        <f t="shared" si="11"/>
        <v/>
      </c>
    </row>
    <row r="197" spans="1:9" s="93" customFormat="1" ht="16.5">
      <c r="A197" s="91"/>
      <c r="B197" s="92"/>
      <c r="C197" s="93" t="str">
        <f t="shared" si="9"/>
        <v/>
      </c>
      <c r="D197" s="94"/>
      <c r="E197" s="95"/>
      <c r="F197" s="93" t="str">
        <f t="shared" si="10"/>
        <v/>
      </c>
      <c r="G197" s="94"/>
      <c r="H197" s="95"/>
      <c r="I197" s="93" t="str">
        <f t="shared" si="11"/>
        <v/>
      </c>
    </row>
    <row r="198" spans="1:9" s="93" customFormat="1" ht="16.5">
      <c r="A198" s="91"/>
      <c r="B198" s="92"/>
      <c r="C198" s="93" t="str">
        <f t="shared" si="9"/>
        <v/>
      </c>
      <c r="D198" s="94"/>
      <c r="E198" s="95"/>
      <c r="F198" s="93" t="str">
        <f t="shared" si="10"/>
        <v/>
      </c>
      <c r="G198" s="94"/>
      <c r="H198" s="95"/>
      <c r="I198" s="93" t="str">
        <f t="shared" si="11"/>
        <v/>
      </c>
    </row>
    <row r="199" spans="1:9" s="93" customFormat="1" ht="16.5">
      <c r="A199" s="91"/>
      <c r="B199" s="92"/>
      <c r="C199" s="93" t="str">
        <f t="shared" si="9"/>
        <v/>
      </c>
      <c r="D199" s="94"/>
      <c r="E199" s="95"/>
      <c r="F199" s="93" t="str">
        <f t="shared" si="10"/>
        <v/>
      </c>
      <c r="G199" s="94"/>
      <c r="H199" s="95"/>
      <c r="I199" s="93" t="str">
        <f t="shared" si="11"/>
        <v/>
      </c>
    </row>
    <row r="200" spans="1:9" s="93" customFormat="1" ht="16.5">
      <c r="A200" s="91"/>
      <c r="B200" s="92"/>
      <c r="C200" s="93" t="str">
        <f t="shared" si="9"/>
        <v/>
      </c>
      <c r="D200" s="94"/>
      <c r="E200" s="95"/>
      <c r="F200" s="93" t="str">
        <f t="shared" si="10"/>
        <v/>
      </c>
      <c r="G200" s="94"/>
      <c r="H200" s="95"/>
      <c r="I200" s="93" t="str">
        <f t="shared" si="11"/>
        <v/>
      </c>
    </row>
    <row r="201" spans="1:9" s="93" customFormat="1" ht="16.5">
      <c r="A201" s="91"/>
      <c r="B201" s="92"/>
      <c r="C201" s="93" t="str">
        <f t="shared" si="9"/>
        <v/>
      </c>
      <c r="D201" s="94"/>
      <c r="E201" s="95"/>
      <c r="F201" s="93" t="str">
        <f t="shared" si="10"/>
        <v/>
      </c>
      <c r="G201" s="94"/>
      <c r="H201" s="95"/>
      <c r="I201" s="93" t="str">
        <f t="shared" si="11"/>
        <v/>
      </c>
    </row>
    <row r="202" spans="1:9" s="93" customFormat="1" ht="16.5">
      <c r="A202" s="91"/>
      <c r="B202" s="92"/>
      <c r="C202" s="93" t="str">
        <f t="shared" si="9"/>
        <v/>
      </c>
      <c r="D202" s="94"/>
      <c r="E202" s="95"/>
      <c r="F202" s="93" t="str">
        <f t="shared" si="10"/>
        <v/>
      </c>
      <c r="G202" s="94"/>
      <c r="H202" s="95"/>
      <c r="I202" s="93" t="str">
        <f t="shared" si="11"/>
        <v/>
      </c>
    </row>
    <row r="203" spans="1:9" s="93" customFormat="1" ht="16.5">
      <c r="A203" s="91"/>
      <c r="B203" s="92"/>
      <c r="C203" s="93" t="str">
        <f t="shared" si="9"/>
        <v/>
      </c>
      <c r="D203" s="94"/>
      <c r="E203" s="95"/>
      <c r="F203" s="93" t="str">
        <f t="shared" si="10"/>
        <v/>
      </c>
      <c r="G203" s="94"/>
      <c r="H203" s="95"/>
      <c r="I203" s="93" t="str">
        <f t="shared" si="11"/>
        <v/>
      </c>
    </row>
    <row r="204" spans="1:9" s="93" customFormat="1" ht="16.5">
      <c r="A204" s="91"/>
      <c r="B204" s="92"/>
      <c r="C204" s="93" t="str">
        <f t="shared" si="9"/>
        <v/>
      </c>
      <c r="D204" s="94"/>
      <c r="E204" s="95"/>
      <c r="F204" s="93" t="str">
        <f t="shared" si="10"/>
        <v/>
      </c>
      <c r="G204" s="94"/>
      <c r="H204" s="95"/>
      <c r="I204" s="93" t="str">
        <f t="shared" si="11"/>
        <v/>
      </c>
    </row>
    <row r="205" spans="1:9" s="93" customFormat="1" ht="16.5">
      <c r="A205" s="91"/>
      <c r="B205" s="92"/>
      <c r="C205" s="93" t="str">
        <f t="shared" si="9"/>
        <v/>
      </c>
      <c r="D205" s="94"/>
      <c r="E205" s="95"/>
      <c r="F205" s="93" t="str">
        <f t="shared" si="10"/>
        <v/>
      </c>
      <c r="G205" s="94"/>
      <c r="H205" s="95"/>
      <c r="I205" s="93" t="str">
        <f t="shared" si="11"/>
        <v/>
      </c>
    </row>
    <row r="206" spans="1:9" s="93" customFormat="1" ht="16.5">
      <c r="A206" s="91"/>
      <c r="B206" s="92"/>
      <c r="C206" s="93" t="str">
        <f t="shared" si="9"/>
        <v/>
      </c>
      <c r="D206" s="94"/>
      <c r="E206" s="95"/>
      <c r="F206" s="93" t="str">
        <f t="shared" si="10"/>
        <v/>
      </c>
      <c r="G206" s="94"/>
      <c r="H206" s="95"/>
      <c r="I206" s="93" t="str">
        <f t="shared" si="11"/>
        <v/>
      </c>
    </row>
    <row r="207" spans="1:9" s="93" customFormat="1" ht="16.5">
      <c r="A207" s="91"/>
      <c r="B207" s="92"/>
      <c r="C207" s="93" t="str">
        <f t="shared" si="9"/>
        <v/>
      </c>
      <c r="D207" s="94"/>
      <c r="E207" s="95"/>
      <c r="F207" s="93" t="str">
        <f t="shared" si="10"/>
        <v/>
      </c>
      <c r="G207" s="94"/>
      <c r="H207" s="95"/>
      <c r="I207" s="93" t="str">
        <f t="shared" si="11"/>
        <v/>
      </c>
    </row>
    <row r="208" spans="1:9" s="93" customFormat="1" ht="16.5">
      <c r="A208" s="91"/>
      <c r="B208" s="92"/>
      <c r="C208" s="93" t="str">
        <f t="shared" si="9"/>
        <v/>
      </c>
      <c r="D208" s="94"/>
      <c r="E208" s="95"/>
      <c r="F208" s="93" t="str">
        <f t="shared" si="10"/>
        <v/>
      </c>
      <c r="G208" s="94"/>
      <c r="H208" s="95"/>
      <c r="I208" s="93" t="str">
        <f t="shared" si="11"/>
        <v/>
      </c>
    </row>
    <row r="209" spans="1:9" s="93" customFormat="1" ht="16.5">
      <c r="A209" s="91"/>
      <c r="B209" s="92"/>
      <c r="C209" s="93" t="str">
        <f t="shared" si="9"/>
        <v/>
      </c>
      <c r="D209" s="94"/>
      <c r="E209" s="95"/>
      <c r="F209" s="93" t="str">
        <f t="shared" si="10"/>
        <v/>
      </c>
      <c r="G209" s="94"/>
      <c r="H209" s="95"/>
      <c r="I209" s="93" t="str">
        <f t="shared" si="11"/>
        <v/>
      </c>
    </row>
    <row r="210" spans="1:9" s="93" customFormat="1" ht="16.5">
      <c r="A210" s="91"/>
      <c r="B210" s="92"/>
      <c r="C210" s="93" t="str">
        <f t="shared" si="9"/>
        <v/>
      </c>
      <c r="D210" s="94"/>
      <c r="E210" s="95"/>
      <c r="F210" s="93" t="str">
        <f t="shared" si="10"/>
        <v/>
      </c>
      <c r="G210" s="94"/>
      <c r="H210" s="95"/>
      <c r="I210" s="93" t="str">
        <f t="shared" si="11"/>
        <v/>
      </c>
    </row>
    <row r="211" spans="1:9" s="93" customFormat="1" ht="16.5">
      <c r="A211" s="91"/>
      <c r="B211" s="92"/>
      <c r="C211" s="93" t="str">
        <f t="shared" si="9"/>
        <v/>
      </c>
      <c r="D211" s="94"/>
      <c r="E211" s="95"/>
      <c r="F211" s="93" t="str">
        <f t="shared" si="10"/>
        <v/>
      </c>
      <c r="G211" s="94"/>
      <c r="H211" s="95"/>
      <c r="I211" s="93" t="str">
        <f t="shared" si="11"/>
        <v/>
      </c>
    </row>
    <row r="212" spans="1:9" s="93" customFormat="1" ht="16.5">
      <c r="A212" s="91"/>
      <c r="B212" s="92"/>
      <c r="C212" s="93" t="str">
        <f t="shared" si="9"/>
        <v/>
      </c>
      <c r="D212" s="94"/>
      <c r="E212" s="95"/>
      <c r="F212" s="93" t="str">
        <f t="shared" si="10"/>
        <v/>
      </c>
      <c r="G212" s="94"/>
      <c r="H212" s="95"/>
      <c r="I212" s="93" t="str">
        <f t="shared" si="11"/>
        <v/>
      </c>
    </row>
    <row r="213" spans="1:9" s="93" customFormat="1" ht="16.5">
      <c r="A213" s="91"/>
      <c r="B213" s="92"/>
      <c r="C213" s="93" t="str">
        <f t="shared" si="9"/>
        <v/>
      </c>
      <c r="D213" s="94"/>
      <c r="E213" s="95"/>
      <c r="F213" s="93" t="str">
        <f t="shared" si="10"/>
        <v/>
      </c>
      <c r="G213" s="94"/>
      <c r="H213" s="95"/>
      <c r="I213" s="93" t="str">
        <f t="shared" si="11"/>
        <v/>
      </c>
    </row>
    <row r="214" spans="1:9" s="93" customFormat="1" ht="16.5">
      <c r="A214" s="91"/>
      <c r="B214" s="92"/>
      <c r="C214" s="93" t="str">
        <f t="shared" si="9"/>
        <v/>
      </c>
      <c r="D214" s="94"/>
      <c r="E214" s="95"/>
      <c r="F214" s="93" t="str">
        <f t="shared" si="10"/>
        <v/>
      </c>
      <c r="G214" s="94"/>
      <c r="H214" s="95"/>
      <c r="I214" s="93" t="str">
        <f t="shared" si="11"/>
        <v/>
      </c>
    </row>
    <row r="215" spans="1:9" s="93" customFormat="1" ht="16.5">
      <c r="A215" s="91"/>
      <c r="B215" s="92"/>
      <c r="C215" s="93" t="str">
        <f t="shared" si="9"/>
        <v/>
      </c>
      <c r="D215" s="94"/>
      <c r="E215" s="95"/>
      <c r="F215" s="93" t="str">
        <f t="shared" si="10"/>
        <v/>
      </c>
      <c r="G215" s="94"/>
      <c r="H215" s="95"/>
      <c r="I215" s="93" t="str">
        <f t="shared" si="11"/>
        <v/>
      </c>
    </row>
    <row r="216" spans="1:9" s="93" customFormat="1" ht="16.5">
      <c r="A216" s="91"/>
      <c r="B216" s="92"/>
      <c r="C216" s="93" t="str">
        <f t="shared" si="9"/>
        <v/>
      </c>
      <c r="D216" s="94"/>
      <c r="E216" s="95"/>
      <c r="F216" s="93" t="str">
        <f t="shared" si="10"/>
        <v/>
      </c>
      <c r="G216" s="94"/>
      <c r="H216" s="95"/>
      <c r="I216" s="93" t="str">
        <f t="shared" si="11"/>
        <v/>
      </c>
    </row>
    <row r="217" spans="1:9" s="93" customFormat="1" ht="16.5">
      <c r="A217" s="91"/>
      <c r="B217" s="92"/>
      <c r="C217" s="93" t="str">
        <f t="shared" si="9"/>
        <v/>
      </c>
      <c r="D217" s="94"/>
      <c r="E217" s="95"/>
      <c r="F217" s="93" t="str">
        <f t="shared" si="10"/>
        <v/>
      </c>
      <c r="G217" s="94"/>
      <c r="H217" s="95"/>
      <c r="I217" s="93" t="str">
        <f t="shared" si="11"/>
        <v/>
      </c>
    </row>
    <row r="218" spans="1:9" s="93" customFormat="1" ht="16.5">
      <c r="A218" s="91"/>
      <c r="B218" s="92"/>
      <c r="C218" s="93" t="str">
        <f t="shared" si="9"/>
        <v/>
      </c>
      <c r="D218" s="94"/>
      <c r="E218" s="95"/>
      <c r="F218" s="93" t="str">
        <f t="shared" si="10"/>
        <v/>
      </c>
      <c r="G218" s="94"/>
      <c r="H218" s="95"/>
      <c r="I218" s="93" t="str">
        <f t="shared" si="11"/>
        <v/>
      </c>
    </row>
    <row r="219" spans="1:9" s="93" customFormat="1" ht="16.5">
      <c r="A219" s="91"/>
      <c r="B219" s="92"/>
      <c r="C219" s="93" t="str">
        <f t="shared" si="9"/>
        <v/>
      </c>
      <c r="D219" s="94"/>
      <c r="E219" s="95"/>
      <c r="F219" s="93" t="str">
        <f t="shared" si="10"/>
        <v/>
      </c>
      <c r="G219" s="94"/>
      <c r="H219" s="95"/>
      <c r="I219" s="93" t="str">
        <f t="shared" si="11"/>
        <v/>
      </c>
    </row>
    <row r="220" spans="1:9" s="93" customFormat="1" ht="16.5">
      <c r="A220" s="91"/>
      <c r="B220" s="92"/>
      <c r="C220" s="93" t="str">
        <f t="shared" si="9"/>
        <v/>
      </c>
      <c r="D220" s="94"/>
      <c r="E220" s="95"/>
      <c r="F220" s="93" t="str">
        <f t="shared" si="10"/>
        <v/>
      </c>
      <c r="G220" s="94"/>
      <c r="H220" s="95"/>
      <c r="I220" s="93" t="str">
        <f t="shared" si="11"/>
        <v/>
      </c>
    </row>
    <row r="221" spans="1:9" s="93" customFormat="1" ht="16.5">
      <c r="A221" s="91"/>
      <c r="B221" s="92"/>
      <c r="C221" s="93" t="str">
        <f t="shared" si="9"/>
        <v/>
      </c>
      <c r="D221" s="94"/>
      <c r="E221" s="95"/>
      <c r="F221" s="93" t="str">
        <f t="shared" si="10"/>
        <v/>
      </c>
      <c r="G221" s="94"/>
      <c r="H221" s="95"/>
      <c r="I221" s="93" t="str">
        <f t="shared" si="11"/>
        <v/>
      </c>
    </row>
    <row r="222" spans="1:9" s="93" customFormat="1" ht="16.5">
      <c r="A222" s="91"/>
      <c r="B222" s="92"/>
      <c r="C222" s="93" t="str">
        <f t="shared" si="9"/>
        <v/>
      </c>
      <c r="D222" s="94"/>
      <c r="E222" s="95"/>
      <c r="F222" s="93" t="str">
        <f t="shared" si="10"/>
        <v/>
      </c>
      <c r="G222" s="94"/>
      <c r="H222" s="95"/>
      <c r="I222" s="93" t="str">
        <f t="shared" si="11"/>
        <v/>
      </c>
    </row>
    <row r="223" spans="1:9" s="93" customFormat="1" ht="16.5">
      <c r="A223" s="91"/>
      <c r="B223" s="92"/>
      <c r="C223" s="93" t="str">
        <f t="shared" si="9"/>
        <v/>
      </c>
      <c r="D223" s="94"/>
      <c r="E223" s="95"/>
      <c r="F223" s="93" t="str">
        <f t="shared" si="10"/>
        <v/>
      </c>
      <c r="G223" s="94"/>
      <c r="H223" s="95"/>
      <c r="I223" s="93" t="str">
        <f t="shared" si="11"/>
        <v/>
      </c>
    </row>
    <row r="224" spans="1:9" s="93" customFormat="1" ht="16.5">
      <c r="A224" s="91"/>
      <c r="B224" s="92"/>
      <c r="C224" s="93" t="str">
        <f t="shared" si="9"/>
        <v/>
      </c>
      <c r="D224" s="94"/>
      <c r="E224" s="95"/>
      <c r="F224" s="93" t="str">
        <f t="shared" si="10"/>
        <v/>
      </c>
      <c r="G224" s="94"/>
      <c r="H224" s="95"/>
      <c r="I224" s="93" t="str">
        <f t="shared" si="11"/>
        <v/>
      </c>
    </row>
    <row r="225" spans="1:9" s="93" customFormat="1" ht="16.5">
      <c r="A225" s="91"/>
      <c r="B225" s="92"/>
      <c r="C225" s="93" t="str">
        <f t="shared" si="9"/>
        <v/>
      </c>
      <c r="D225" s="94"/>
      <c r="E225" s="95"/>
      <c r="F225" s="93" t="str">
        <f t="shared" si="10"/>
        <v/>
      </c>
      <c r="G225" s="94"/>
      <c r="H225" s="95"/>
      <c r="I225" s="93" t="str">
        <f t="shared" si="11"/>
        <v/>
      </c>
    </row>
    <row r="226" spans="1:9" s="93" customFormat="1" ht="16.5">
      <c r="A226" s="91"/>
      <c r="B226" s="92"/>
      <c r="C226" s="93" t="str">
        <f t="shared" si="9"/>
        <v/>
      </c>
      <c r="D226" s="94"/>
      <c r="E226" s="95"/>
      <c r="F226" s="93" t="str">
        <f t="shared" si="10"/>
        <v/>
      </c>
      <c r="G226" s="94"/>
      <c r="H226" s="95"/>
      <c r="I226" s="93" t="str">
        <f t="shared" si="11"/>
        <v/>
      </c>
    </row>
    <row r="227" spans="1:9" s="93" customFormat="1" ht="16.5">
      <c r="A227" s="91"/>
      <c r="B227" s="92"/>
      <c r="C227" s="93" t="str">
        <f t="shared" si="9"/>
        <v/>
      </c>
      <c r="D227" s="94"/>
      <c r="E227" s="95"/>
      <c r="F227" s="93" t="str">
        <f t="shared" si="10"/>
        <v/>
      </c>
      <c r="G227" s="94"/>
      <c r="H227" s="95"/>
      <c r="I227" s="93" t="str">
        <f t="shared" si="11"/>
        <v/>
      </c>
    </row>
    <row r="228" spans="1:9" s="93" customFormat="1" ht="16.5">
      <c r="A228" s="91"/>
      <c r="B228" s="92"/>
      <c r="C228" s="93" t="str">
        <f t="shared" si="9"/>
        <v/>
      </c>
      <c r="D228" s="94"/>
      <c r="E228" s="95"/>
      <c r="F228" s="93" t="str">
        <f t="shared" si="10"/>
        <v/>
      </c>
      <c r="G228" s="94"/>
      <c r="H228" s="95"/>
      <c r="I228" s="93" t="str">
        <f t="shared" si="11"/>
        <v/>
      </c>
    </row>
    <row r="229" spans="1:9" s="93" customFormat="1" ht="16.5">
      <c r="A229" s="91"/>
      <c r="B229" s="92"/>
      <c r="C229" s="93" t="str">
        <f t="shared" si="9"/>
        <v/>
      </c>
      <c r="D229" s="94"/>
      <c r="E229" s="95"/>
      <c r="F229" s="93" t="str">
        <f t="shared" si="10"/>
        <v/>
      </c>
      <c r="G229" s="94"/>
      <c r="H229" s="95"/>
      <c r="I229" s="93" t="str">
        <f t="shared" si="11"/>
        <v/>
      </c>
    </row>
    <row r="230" spans="1:9" s="93" customFormat="1" ht="16.5">
      <c r="A230" s="94"/>
      <c r="B230" s="95"/>
      <c r="C230" s="93" t="str">
        <f t="shared" si="9"/>
        <v/>
      </c>
      <c r="D230" s="94"/>
      <c r="E230" s="95"/>
      <c r="F230" s="93" t="str">
        <f t="shared" si="10"/>
        <v/>
      </c>
      <c r="G230" s="94"/>
      <c r="H230" s="95"/>
      <c r="I230" s="93" t="str">
        <f t="shared" si="11"/>
        <v/>
      </c>
    </row>
    <row r="231" spans="1:9" s="93" customFormat="1" ht="16.5">
      <c r="A231" s="94"/>
      <c r="B231" s="95"/>
      <c r="C231" s="93" t="str">
        <f t="shared" si="9"/>
        <v/>
      </c>
      <c r="D231" s="94"/>
      <c r="E231" s="95"/>
      <c r="F231" s="93" t="str">
        <f t="shared" si="10"/>
        <v/>
      </c>
      <c r="G231" s="94"/>
      <c r="H231" s="95"/>
      <c r="I231" s="93" t="str">
        <f t="shared" si="11"/>
        <v/>
      </c>
    </row>
    <row r="232" spans="1:9" s="93" customFormat="1" ht="16.5">
      <c r="A232" s="94"/>
      <c r="B232" s="95"/>
      <c r="C232" s="93" t="str">
        <f t="shared" si="9"/>
        <v/>
      </c>
      <c r="D232" s="94"/>
      <c r="E232" s="95"/>
      <c r="F232" s="93" t="str">
        <f t="shared" si="10"/>
        <v/>
      </c>
      <c r="G232" s="94"/>
      <c r="H232" s="95"/>
      <c r="I232" s="93" t="str">
        <f t="shared" si="11"/>
        <v/>
      </c>
    </row>
    <row r="233" spans="1:9" s="93" customFormat="1" ht="16.5">
      <c r="A233" s="94"/>
      <c r="B233" s="95"/>
      <c r="C233" s="93" t="str">
        <f t="shared" si="9"/>
        <v/>
      </c>
      <c r="D233" s="94"/>
      <c r="E233" s="95"/>
      <c r="F233" s="93" t="str">
        <f t="shared" si="10"/>
        <v/>
      </c>
      <c r="G233" s="94"/>
      <c r="H233" s="95"/>
      <c r="I233" s="93" t="str">
        <f t="shared" si="11"/>
        <v/>
      </c>
    </row>
    <row r="234" spans="1:9" s="93" customFormat="1" ht="16.5">
      <c r="A234" s="94"/>
      <c r="B234" s="95"/>
      <c r="C234" s="93" t="str">
        <f t="shared" si="9"/>
        <v/>
      </c>
      <c r="D234" s="94"/>
      <c r="E234" s="95"/>
      <c r="F234" s="93" t="str">
        <f t="shared" si="10"/>
        <v/>
      </c>
      <c r="G234" s="94"/>
      <c r="H234" s="95"/>
      <c r="I234" s="93" t="str">
        <f t="shared" si="11"/>
        <v/>
      </c>
    </row>
    <row r="235" spans="1:9" s="93" customFormat="1" ht="16.5">
      <c r="A235" s="94"/>
      <c r="B235" s="95"/>
      <c r="C235" s="93" t="str">
        <f t="shared" si="9"/>
        <v/>
      </c>
      <c r="D235" s="94"/>
      <c r="E235" s="95"/>
      <c r="F235" s="93" t="str">
        <f t="shared" si="10"/>
        <v/>
      </c>
      <c r="G235" s="94"/>
      <c r="H235" s="95"/>
      <c r="I235" s="93" t="str">
        <f t="shared" si="11"/>
        <v/>
      </c>
    </row>
    <row r="236" spans="1:9" s="93" customFormat="1" ht="16.5">
      <c r="A236" s="94"/>
      <c r="B236" s="95"/>
      <c r="C236" s="93" t="str">
        <f t="shared" si="9"/>
        <v/>
      </c>
      <c r="D236" s="94"/>
      <c r="E236" s="95"/>
      <c r="F236" s="93" t="str">
        <f t="shared" si="10"/>
        <v/>
      </c>
      <c r="G236" s="94"/>
      <c r="H236" s="95"/>
      <c r="I236" s="93" t="str">
        <f t="shared" si="11"/>
        <v/>
      </c>
    </row>
    <row r="237" spans="1:9" s="93" customFormat="1" ht="16.5">
      <c r="A237" s="94"/>
      <c r="B237" s="95"/>
      <c r="C237" s="93" t="str">
        <f t="shared" si="9"/>
        <v/>
      </c>
      <c r="D237" s="94"/>
      <c r="E237" s="95"/>
      <c r="F237" s="93" t="str">
        <f t="shared" si="10"/>
        <v/>
      </c>
      <c r="G237" s="94"/>
      <c r="H237" s="95"/>
      <c r="I237" s="93" t="str">
        <f t="shared" si="11"/>
        <v/>
      </c>
    </row>
    <row r="238" spans="1:9" s="93" customFormat="1" ht="16.5">
      <c r="A238" s="94"/>
      <c r="B238" s="95"/>
      <c r="C238" s="93" t="str">
        <f t="shared" si="9"/>
        <v/>
      </c>
      <c r="D238" s="94"/>
      <c r="E238" s="95"/>
      <c r="F238" s="93" t="str">
        <f t="shared" si="10"/>
        <v/>
      </c>
      <c r="G238" s="94"/>
      <c r="H238" s="95"/>
      <c r="I238" s="93" t="str">
        <f t="shared" si="11"/>
        <v/>
      </c>
    </row>
    <row r="239" spans="1:9" s="93" customFormat="1" ht="16.5">
      <c r="A239" s="94"/>
      <c r="B239" s="95"/>
      <c r="C239" s="93" t="str">
        <f t="shared" si="9"/>
        <v/>
      </c>
      <c r="D239" s="94"/>
      <c r="E239" s="95"/>
      <c r="F239" s="93" t="str">
        <f t="shared" si="10"/>
        <v/>
      </c>
      <c r="G239" s="94"/>
      <c r="H239" s="95"/>
      <c r="I239" s="93" t="str">
        <f t="shared" si="11"/>
        <v/>
      </c>
    </row>
    <row r="240" spans="1:9" s="93" customFormat="1" ht="16.5">
      <c r="A240" s="94"/>
      <c r="B240" s="95"/>
      <c r="C240" s="93" t="str">
        <f t="shared" si="9"/>
        <v/>
      </c>
      <c r="D240" s="94"/>
      <c r="E240" s="95"/>
      <c r="F240" s="93" t="str">
        <f t="shared" si="10"/>
        <v/>
      </c>
      <c r="G240" s="94"/>
      <c r="H240" s="95"/>
      <c r="I240" s="93" t="str">
        <f t="shared" si="11"/>
        <v/>
      </c>
    </row>
    <row r="241" spans="1:9" s="93" customFormat="1" ht="16.5">
      <c r="A241" s="94"/>
      <c r="B241" s="95"/>
      <c r="C241" s="93" t="str">
        <f t="shared" si="9"/>
        <v/>
      </c>
      <c r="D241" s="94"/>
      <c r="E241" s="95"/>
      <c r="F241" s="93" t="str">
        <f t="shared" si="10"/>
        <v/>
      </c>
      <c r="G241" s="94"/>
      <c r="H241" s="95"/>
      <c r="I241" s="93" t="str">
        <f t="shared" si="11"/>
        <v/>
      </c>
    </row>
    <row r="242" spans="1:9" s="93" customFormat="1" ht="16.5">
      <c r="A242" s="94"/>
      <c r="B242" s="95"/>
      <c r="C242" s="93" t="str">
        <f t="shared" si="9"/>
        <v/>
      </c>
      <c r="D242" s="94"/>
      <c r="E242" s="95"/>
      <c r="F242" s="93" t="str">
        <f t="shared" si="10"/>
        <v/>
      </c>
      <c r="G242" s="94"/>
      <c r="H242" s="95"/>
      <c r="I242" s="93" t="str">
        <f t="shared" si="11"/>
        <v/>
      </c>
    </row>
    <row r="243" spans="1:9" s="93" customFormat="1" ht="16.5">
      <c r="A243" s="94"/>
      <c r="B243" s="95"/>
      <c r="C243" s="93" t="str">
        <f t="shared" si="9"/>
        <v/>
      </c>
      <c r="D243" s="94"/>
      <c r="E243" s="95"/>
      <c r="F243" s="93" t="str">
        <f t="shared" si="10"/>
        <v/>
      </c>
      <c r="G243" s="94"/>
      <c r="H243" s="95"/>
      <c r="I243" s="93" t="str">
        <f t="shared" si="11"/>
        <v/>
      </c>
    </row>
    <row r="244" spans="1:9" s="93" customFormat="1" ht="16.5">
      <c r="A244" s="94"/>
      <c r="B244" s="95"/>
      <c r="C244" s="93" t="str">
        <f t="shared" si="9"/>
        <v/>
      </c>
      <c r="D244" s="94"/>
      <c r="E244" s="95"/>
      <c r="F244" s="93" t="str">
        <f t="shared" si="10"/>
        <v/>
      </c>
      <c r="G244" s="94"/>
      <c r="H244" s="95"/>
      <c r="I244" s="93" t="str">
        <f t="shared" si="11"/>
        <v/>
      </c>
    </row>
    <row r="245" spans="1:9" s="93" customFormat="1" ht="16.5">
      <c r="A245" s="94"/>
      <c r="B245" s="95"/>
      <c r="C245" s="93" t="str">
        <f t="shared" si="9"/>
        <v/>
      </c>
      <c r="D245" s="94"/>
      <c r="E245" s="95"/>
      <c r="F245" s="93" t="str">
        <f t="shared" si="10"/>
        <v/>
      </c>
      <c r="G245" s="94"/>
      <c r="H245" s="95"/>
      <c r="I245" s="93" t="str">
        <f t="shared" si="11"/>
        <v/>
      </c>
    </row>
    <row r="246" spans="1:9" s="93" customFormat="1" ht="16.5">
      <c r="A246" s="94"/>
      <c r="B246" s="95"/>
      <c r="C246" s="93" t="str">
        <f t="shared" si="9"/>
        <v/>
      </c>
      <c r="D246" s="94"/>
      <c r="E246" s="95"/>
      <c r="F246" s="93" t="str">
        <f t="shared" si="10"/>
        <v/>
      </c>
      <c r="G246" s="94"/>
      <c r="H246" s="95"/>
      <c r="I246" s="93" t="str">
        <f t="shared" si="11"/>
        <v/>
      </c>
    </row>
    <row r="247" spans="1:9" s="93" customFormat="1" ht="16.5">
      <c r="A247" s="94"/>
      <c r="B247" s="95"/>
      <c r="C247" s="93" t="str">
        <f t="shared" si="9"/>
        <v/>
      </c>
      <c r="D247" s="94"/>
      <c r="E247" s="95"/>
      <c r="F247" s="93" t="str">
        <f t="shared" si="10"/>
        <v/>
      </c>
      <c r="G247" s="94"/>
      <c r="H247" s="95"/>
      <c r="I247" s="93" t="str">
        <f t="shared" si="11"/>
        <v/>
      </c>
    </row>
    <row r="248" spans="1:9" s="93" customFormat="1" ht="16.5">
      <c r="A248" s="94"/>
      <c r="B248" s="95"/>
      <c r="C248" s="93" t="str">
        <f t="shared" si="9"/>
        <v/>
      </c>
      <c r="D248" s="94"/>
      <c r="E248" s="95"/>
      <c r="F248" s="93" t="str">
        <f t="shared" si="10"/>
        <v/>
      </c>
      <c r="G248" s="94"/>
      <c r="H248" s="95"/>
      <c r="I248" s="93" t="str">
        <f t="shared" si="11"/>
        <v/>
      </c>
    </row>
    <row r="249" spans="1:9" s="93" customFormat="1" ht="16.5">
      <c r="A249" s="94"/>
      <c r="B249" s="95"/>
      <c r="C249" s="93" t="str">
        <f t="shared" ref="C249:C292" si="12">IF(B249&gt;0,TEXT(B249,"(aaa)"),"")</f>
        <v/>
      </c>
      <c r="D249" s="94"/>
      <c r="E249" s="95"/>
      <c r="F249" s="93" t="str">
        <f t="shared" ref="F249:F292" si="13">IF(E249&gt;0,TEXT(E249,"(aaa)"),"")</f>
        <v/>
      </c>
      <c r="G249" s="94"/>
      <c r="H249" s="95"/>
      <c r="I249" s="93" t="str">
        <f t="shared" ref="I249:I292" si="14">IF(H249&gt;0,TEXT(H249,"(aaa)"),"")</f>
        <v/>
      </c>
    </row>
    <row r="250" spans="1:9" s="93" customFormat="1" ht="16.5">
      <c r="A250" s="94"/>
      <c r="B250" s="95"/>
      <c r="C250" s="93" t="str">
        <f t="shared" si="12"/>
        <v/>
      </c>
      <c r="D250" s="94"/>
      <c r="E250" s="95"/>
      <c r="F250" s="93" t="str">
        <f t="shared" si="13"/>
        <v/>
      </c>
      <c r="G250" s="94"/>
      <c r="H250" s="95"/>
      <c r="I250" s="93" t="str">
        <f t="shared" si="14"/>
        <v/>
      </c>
    </row>
    <row r="251" spans="1:9" s="93" customFormat="1" ht="16.5">
      <c r="A251" s="94"/>
      <c r="B251" s="95"/>
      <c r="C251" s="93" t="str">
        <f t="shared" si="12"/>
        <v/>
      </c>
      <c r="D251" s="94"/>
      <c r="E251" s="95"/>
      <c r="F251" s="93" t="str">
        <f t="shared" si="13"/>
        <v/>
      </c>
      <c r="G251" s="94"/>
      <c r="H251" s="95"/>
      <c r="I251" s="93" t="str">
        <f t="shared" si="14"/>
        <v/>
      </c>
    </row>
    <row r="252" spans="1:9" s="93" customFormat="1" ht="16.5">
      <c r="A252" s="94"/>
      <c r="B252" s="95"/>
      <c r="C252" s="93" t="str">
        <f t="shared" si="12"/>
        <v/>
      </c>
      <c r="D252" s="94"/>
      <c r="E252" s="95"/>
      <c r="F252" s="93" t="str">
        <f t="shared" si="13"/>
        <v/>
      </c>
      <c r="G252" s="94"/>
      <c r="H252" s="95"/>
      <c r="I252" s="93" t="str">
        <f t="shared" si="14"/>
        <v/>
      </c>
    </row>
    <row r="253" spans="1:9" s="93" customFormat="1" ht="16.5">
      <c r="A253" s="94"/>
      <c r="B253" s="95"/>
      <c r="C253" s="93" t="str">
        <f t="shared" si="12"/>
        <v/>
      </c>
      <c r="D253" s="94"/>
      <c r="E253" s="95"/>
      <c r="F253" s="93" t="str">
        <f t="shared" si="13"/>
        <v/>
      </c>
      <c r="G253" s="94"/>
      <c r="H253" s="95"/>
      <c r="I253" s="93" t="str">
        <f t="shared" si="14"/>
        <v/>
      </c>
    </row>
    <row r="254" spans="1:9" s="93" customFormat="1" ht="16.5">
      <c r="A254" s="94"/>
      <c r="B254" s="95"/>
      <c r="C254" s="93" t="str">
        <f t="shared" si="12"/>
        <v/>
      </c>
      <c r="D254" s="94"/>
      <c r="E254" s="95"/>
      <c r="F254" s="93" t="str">
        <f t="shared" si="13"/>
        <v/>
      </c>
      <c r="G254" s="94"/>
      <c r="H254" s="95"/>
      <c r="I254" s="93" t="str">
        <f t="shared" si="14"/>
        <v/>
      </c>
    </row>
    <row r="255" spans="1:9" s="93" customFormat="1" ht="16.5">
      <c r="A255" s="94"/>
      <c r="B255" s="95"/>
      <c r="C255" s="93" t="str">
        <f t="shared" si="12"/>
        <v/>
      </c>
      <c r="D255" s="94"/>
      <c r="E255" s="95"/>
      <c r="F255" s="93" t="str">
        <f t="shared" si="13"/>
        <v/>
      </c>
      <c r="G255" s="94"/>
      <c r="H255" s="95"/>
      <c r="I255" s="93" t="str">
        <f t="shared" si="14"/>
        <v/>
      </c>
    </row>
    <row r="256" spans="1:9" s="93" customFormat="1" ht="16.5">
      <c r="A256" s="94"/>
      <c r="B256" s="95"/>
      <c r="C256" s="93" t="str">
        <f t="shared" si="12"/>
        <v/>
      </c>
      <c r="D256" s="94"/>
      <c r="E256" s="95"/>
      <c r="F256" s="93" t="str">
        <f t="shared" si="13"/>
        <v/>
      </c>
      <c r="G256" s="94"/>
      <c r="H256" s="95"/>
      <c r="I256" s="93" t="str">
        <f t="shared" si="14"/>
        <v/>
      </c>
    </row>
    <row r="257" spans="1:9" s="93" customFormat="1" ht="16.5">
      <c r="A257" s="94"/>
      <c r="B257" s="95"/>
      <c r="C257" s="93" t="str">
        <f t="shared" si="12"/>
        <v/>
      </c>
      <c r="D257" s="94"/>
      <c r="E257" s="95"/>
      <c r="F257" s="93" t="str">
        <f t="shared" si="13"/>
        <v/>
      </c>
      <c r="G257" s="94"/>
      <c r="H257" s="95"/>
      <c r="I257" s="93" t="str">
        <f t="shared" si="14"/>
        <v/>
      </c>
    </row>
    <row r="258" spans="1:9" s="93" customFormat="1" ht="16.5">
      <c r="A258" s="94"/>
      <c r="B258" s="95"/>
      <c r="C258" s="93" t="str">
        <f t="shared" si="12"/>
        <v/>
      </c>
      <c r="D258" s="94"/>
      <c r="E258" s="95"/>
      <c r="F258" s="93" t="str">
        <f t="shared" si="13"/>
        <v/>
      </c>
      <c r="G258" s="94"/>
      <c r="H258" s="95"/>
      <c r="I258" s="93" t="str">
        <f t="shared" si="14"/>
        <v/>
      </c>
    </row>
    <row r="259" spans="1:9" s="93" customFormat="1" ht="16.5">
      <c r="A259" s="94"/>
      <c r="B259" s="95"/>
      <c r="C259" s="93" t="str">
        <f t="shared" si="12"/>
        <v/>
      </c>
      <c r="D259" s="94"/>
      <c r="E259" s="95"/>
      <c r="F259" s="93" t="str">
        <f t="shared" si="13"/>
        <v/>
      </c>
      <c r="G259" s="94"/>
      <c r="H259" s="95"/>
      <c r="I259" s="93" t="str">
        <f t="shared" si="14"/>
        <v/>
      </c>
    </row>
    <row r="260" spans="1:9" s="93" customFormat="1" ht="16.5">
      <c r="A260" s="94"/>
      <c r="B260" s="95"/>
      <c r="C260" s="93" t="str">
        <f t="shared" si="12"/>
        <v/>
      </c>
      <c r="D260" s="94"/>
      <c r="E260" s="95"/>
      <c r="F260" s="93" t="str">
        <f t="shared" si="13"/>
        <v/>
      </c>
      <c r="G260" s="94"/>
      <c r="H260" s="95"/>
      <c r="I260" s="93" t="str">
        <f t="shared" si="14"/>
        <v/>
      </c>
    </row>
    <row r="261" spans="1:9" s="93" customFormat="1" ht="16.5">
      <c r="A261" s="94"/>
      <c r="B261" s="95"/>
      <c r="C261" s="93" t="str">
        <f t="shared" si="12"/>
        <v/>
      </c>
      <c r="D261" s="94"/>
      <c r="E261" s="95"/>
      <c r="F261" s="93" t="str">
        <f t="shared" si="13"/>
        <v/>
      </c>
      <c r="G261" s="94"/>
      <c r="H261" s="95"/>
      <c r="I261" s="93" t="str">
        <f t="shared" si="14"/>
        <v/>
      </c>
    </row>
    <row r="262" spans="1:9" s="93" customFormat="1" ht="16.5">
      <c r="A262" s="94"/>
      <c r="B262" s="95"/>
      <c r="C262" s="93" t="str">
        <f t="shared" si="12"/>
        <v/>
      </c>
      <c r="D262" s="94"/>
      <c r="E262" s="95"/>
      <c r="F262" s="93" t="str">
        <f t="shared" si="13"/>
        <v/>
      </c>
      <c r="G262" s="94"/>
      <c r="H262" s="95"/>
      <c r="I262" s="93" t="str">
        <f t="shared" si="14"/>
        <v/>
      </c>
    </row>
    <row r="263" spans="1:9" s="93" customFormat="1" ht="16.5">
      <c r="A263" s="94"/>
      <c r="B263" s="95"/>
      <c r="C263" s="93" t="str">
        <f t="shared" si="12"/>
        <v/>
      </c>
      <c r="D263" s="94"/>
      <c r="E263" s="95"/>
      <c r="F263" s="93" t="str">
        <f t="shared" si="13"/>
        <v/>
      </c>
      <c r="G263" s="94"/>
      <c r="H263" s="95"/>
      <c r="I263" s="93" t="str">
        <f t="shared" si="14"/>
        <v/>
      </c>
    </row>
    <row r="264" spans="1:9" s="93" customFormat="1" ht="16.5">
      <c r="A264" s="94"/>
      <c r="B264" s="95"/>
      <c r="C264" s="93" t="str">
        <f t="shared" si="12"/>
        <v/>
      </c>
      <c r="D264" s="94"/>
      <c r="E264" s="95"/>
      <c r="F264" s="93" t="str">
        <f t="shared" si="13"/>
        <v/>
      </c>
      <c r="G264" s="94"/>
      <c r="H264" s="95"/>
      <c r="I264" s="93" t="str">
        <f t="shared" si="14"/>
        <v/>
      </c>
    </row>
    <row r="265" spans="1:9" s="93" customFormat="1" ht="16.5">
      <c r="A265" s="94"/>
      <c r="B265" s="95"/>
      <c r="C265" s="93" t="str">
        <f t="shared" si="12"/>
        <v/>
      </c>
      <c r="D265" s="94"/>
      <c r="E265" s="95"/>
      <c r="F265" s="93" t="str">
        <f t="shared" si="13"/>
        <v/>
      </c>
      <c r="G265" s="94"/>
      <c r="H265" s="95"/>
      <c r="I265" s="93" t="str">
        <f t="shared" si="14"/>
        <v/>
      </c>
    </row>
    <row r="266" spans="1:9" s="93" customFormat="1" ht="16.5">
      <c r="A266" s="94"/>
      <c r="B266" s="95"/>
      <c r="C266" s="93" t="str">
        <f t="shared" si="12"/>
        <v/>
      </c>
      <c r="D266" s="94"/>
      <c r="E266" s="95"/>
      <c r="F266" s="93" t="str">
        <f t="shared" si="13"/>
        <v/>
      </c>
      <c r="G266" s="94"/>
      <c r="H266" s="95"/>
      <c r="I266" s="93" t="str">
        <f t="shared" si="14"/>
        <v/>
      </c>
    </row>
    <row r="267" spans="1:9" s="93" customFormat="1" ht="16.5">
      <c r="A267" s="94"/>
      <c r="B267" s="95"/>
      <c r="C267" s="93" t="str">
        <f t="shared" si="12"/>
        <v/>
      </c>
      <c r="D267" s="94"/>
      <c r="E267" s="95"/>
      <c r="F267" s="93" t="str">
        <f t="shared" si="13"/>
        <v/>
      </c>
      <c r="G267" s="94"/>
      <c r="H267" s="95"/>
      <c r="I267" s="93" t="str">
        <f t="shared" si="14"/>
        <v/>
      </c>
    </row>
    <row r="268" spans="1:9" s="93" customFormat="1" ht="16.5">
      <c r="A268" s="94"/>
      <c r="B268" s="95"/>
      <c r="C268" s="93" t="str">
        <f t="shared" si="12"/>
        <v/>
      </c>
      <c r="D268" s="94"/>
      <c r="E268" s="95"/>
      <c r="F268" s="93" t="str">
        <f t="shared" si="13"/>
        <v/>
      </c>
      <c r="G268" s="94"/>
      <c r="H268" s="95"/>
      <c r="I268" s="93" t="str">
        <f t="shared" si="14"/>
        <v/>
      </c>
    </row>
    <row r="269" spans="1:9" s="93" customFormat="1" ht="16.5">
      <c r="A269" s="94"/>
      <c r="B269" s="95"/>
      <c r="C269" s="93" t="str">
        <f t="shared" si="12"/>
        <v/>
      </c>
      <c r="D269" s="94"/>
      <c r="E269" s="95"/>
      <c r="F269" s="93" t="str">
        <f t="shared" si="13"/>
        <v/>
      </c>
      <c r="G269" s="94"/>
      <c r="H269" s="95"/>
      <c r="I269" s="93" t="str">
        <f t="shared" si="14"/>
        <v/>
      </c>
    </row>
    <row r="270" spans="1:9" s="93" customFormat="1" ht="16.5">
      <c r="A270" s="94"/>
      <c r="B270" s="95"/>
      <c r="C270" s="93" t="str">
        <f t="shared" si="12"/>
        <v/>
      </c>
      <c r="D270" s="94"/>
      <c r="E270" s="95"/>
      <c r="F270" s="93" t="str">
        <f t="shared" si="13"/>
        <v/>
      </c>
      <c r="G270" s="94"/>
      <c r="H270" s="95"/>
      <c r="I270" s="93" t="str">
        <f t="shared" si="14"/>
        <v/>
      </c>
    </row>
    <row r="271" spans="1:9" s="93" customFormat="1" ht="16.5">
      <c r="A271" s="94"/>
      <c r="B271" s="95"/>
      <c r="C271" s="93" t="str">
        <f t="shared" si="12"/>
        <v/>
      </c>
      <c r="D271" s="94"/>
      <c r="E271" s="95"/>
      <c r="F271" s="93" t="str">
        <f t="shared" si="13"/>
        <v/>
      </c>
      <c r="G271" s="94"/>
      <c r="H271" s="95"/>
      <c r="I271" s="93" t="str">
        <f t="shared" si="14"/>
        <v/>
      </c>
    </row>
    <row r="272" spans="1:9" s="93" customFormat="1" ht="16.5">
      <c r="A272" s="94"/>
      <c r="B272" s="95"/>
      <c r="C272" s="93" t="str">
        <f t="shared" si="12"/>
        <v/>
      </c>
      <c r="D272" s="94"/>
      <c r="E272" s="95"/>
      <c r="F272" s="93" t="str">
        <f t="shared" si="13"/>
        <v/>
      </c>
      <c r="G272" s="94"/>
      <c r="H272" s="95"/>
      <c r="I272" s="93" t="str">
        <f t="shared" si="14"/>
        <v/>
      </c>
    </row>
    <row r="273" spans="1:9" s="93" customFormat="1" ht="16.5">
      <c r="A273" s="94"/>
      <c r="B273" s="95"/>
      <c r="C273" s="93" t="str">
        <f t="shared" si="12"/>
        <v/>
      </c>
      <c r="D273" s="94"/>
      <c r="E273" s="95"/>
      <c r="F273" s="93" t="str">
        <f t="shared" si="13"/>
        <v/>
      </c>
      <c r="G273" s="94"/>
      <c r="H273" s="95"/>
      <c r="I273" s="93" t="str">
        <f t="shared" si="14"/>
        <v/>
      </c>
    </row>
    <row r="274" spans="1:9" s="93" customFormat="1" ht="16.5">
      <c r="A274" s="94"/>
      <c r="B274" s="95"/>
      <c r="C274" s="93" t="str">
        <f t="shared" si="12"/>
        <v/>
      </c>
      <c r="D274" s="94"/>
      <c r="E274" s="95"/>
      <c r="F274" s="93" t="str">
        <f t="shared" si="13"/>
        <v/>
      </c>
      <c r="G274" s="94"/>
      <c r="H274" s="95"/>
      <c r="I274" s="93" t="str">
        <f t="shared" si="14"/>
        <v/>
      </c>
    </row>
    <row r="275" spans="1:9" s="93" customFormat="1" ht="16.5">
      <c r="A275" s="94"/>
      <c r="B275" s="95"/>
      <c r="C275" s="93" t="str">
        <f t="shared" si="12"/>
        <v/>
      </c>
      <c r="D275" s="94"/>
      <c r="E275" s="95"/>
      <c r="F275" s="93" t="str">
        <f t="shared" si="13"/>
        <v/>
      </c>
      <c r="G275" s="94"/>
      <c r="H275" s="95"/>
      <c r="I275" s="93" t="str">
        <f t="shared" si="14"/>
        <v/>
      </c>
    </row>
    <row r="276" spans="1:9" s="93" customFormat="1" ht="16.5">
      <c r="A276" s="94"/>
      <c r="B276" s="95"/>
      <c r="C276" s="93" t="str">
        <f t="shared" si="12"/>
        <v/>
      </c>
      <c r="D276" s="94"/>
      <c r="E276" s="95"/>
      <c r="F276" s="93" t="str">
        <f t="shared" si="13"/>
        <v/>
      </c>
      <c r="G276" s="94"/>
      <c r="H276" s="95"/>
      <c r="I276" s="93" t="str">
        <f t="shared" si="14"/>
        <v/>
      </c>
    </row>
    <row r="277" spans="1:9" s="93" customFormat="1" ht="16.5">
      <c r="A277" s="94"/>
      <c r="B277" s="95"/>
      <c r="C277" s="93" t="str">
        <f t="shared" si="12"/>
        <v/>
      </c>
      <c r="D277" s="94"/>
      <c r="E277" s="95"/>
      <c r="F277" s="93" t="str">
        <f t="shared" si="13"/>
        <v/>
      </c>
      <c r="G277" s="94"/>
      <c r="H277" s="95"/>
      <c r="I277" s="93" t="str">
        <f t="shared" si="14"/>
        <v/>
      </c>
    </row>
    <row r="278" spans="1:9" s="93" customFormat="1" ht="16.5">
      <c r="A278" s="94"/>
      <c r="B278" s="95"/>
      <c r="C278" s="93" t="str">
        <f t="shared" si="12"/>
        <v/>
      </c>
      <c r="D278" s="94"/>
      <c r="E278" s="95"/>
      <c r="F278" s="93" t="str">
        <f t="shared" si="13"/>
        <v/>
      </c>
      <c r="G278" s="94"/>
      <c r="H278" s="95"/>
      <c r="I278" s="93" t="str">
        <f t="shared" si="14"/>
        <v/>
      </c>
    </row>
    <row r="279" spans="1:9" s="93" customFormat="1" ht="16.5">
      <c r="A279" s="94"/>
      <c r="B279" s="95"/>
      <c r="C279" s="93" t="str">
        <f t="shared" si="12"/>
        <v/>
      </c>
      <c r="D279" s="94"/>
      <c r="E279" s="95"/>
      <c r="F279" s="93" t="str">
        <f t="shared" si="13"/>
        <v/>
      </c>
      <c r="G279" s="94"/>
      <c r="H279" s="95"/>
      <c r="I279" s="93" t="str">
        <f t="shared" si="14"/>
        <v/>
      </c>
    </row>
    <row r="280" spans="1:9" s="93" customFormat="1" ht="16.5">
      <c r="A280" s="94"/>
      <c r="B280" s="95"/>
      <c r="C280" s="93" t="str">
        <f t="shared" si="12"/>
        <v/>
      </c>
      <c r="D280" s="94"/>
      <c r="E280" s="95"/>
      <c r="F280" s="93" t="str">
        <f t="shared" si="13"/>
        <v/>
      </c>
      <c r="G280" s="94"/>
      <c r="H280" s="95"/>
      <c r="I280" s="93" t="str">
        <f t="shared" si="14"/>
        <v/>
      </c>
    </row>
    <row r="281" spans="1:9" s="93" customFormat="1" ht="16.5">
      <c r="A281" s="94"/>
      <c r="B281" s="95"/>
      <c r="C281" s="93" t="str">
        <f t="shared" si="12"/>
        <v/>
      </c>
      <c r="D281" s="94"/>
      <c r="E281" s="95"/>
      <c r="F281" s="93" t="str">
        <f t="shared" si="13"/>
        <v/>
      </c>
      <c r="G281" s="94"/>
      <c r="H281" s="95"/>
      <c r="I281" s="93" t="str">
        <f t="shared" si="14"/>
        <v/>
      </c>
    </row>
    <row r="282" spans="1:9" s="93" customFormat="1" ht="16.5">
      <c r="A282" s="94"/>
      <c r="B282" s="95"/>
      <c r="C282" s="93" t="str">
        <f t="shared" si="12"/>
        <v/>
      </c>
      <c r="D282" s="94"/>
      <c r="E282" s="95"/>
      <c r="F282" s="93" t="str">
        <f t="shared" si="13"/>
        <v/>
      </c>
      <c r="G282" s="94"/>
      <c r="H282" s="95"/>
      <c r="I282" s="93" t="str">
        <f t="shared" si="14"/>
        <v/>
      </c>
    </row>
    <row r="283" spans="1:9" s="93" customFormat="1" ht="16.5">
      <c r="A283" s="94"/>
      <c r="B283" s="95"/>
      <c r="C283" s="93" t="str">
        <f t="shared" si="12"/>
        <v/>
      </c>
      <c r="D283" s="94"/>
      <c r="E283" s="95"/>
      <c r="F283" s="93" t="str">
        <f t="shared" si="13"/>
        <v/>
      </c>
      <c r="G283" s="94"/>
      <c r="H283" s="95"/>
      <c r="I283" s="93" t="str">
        <f t="shared" si="14"/>
        <v/>
      </c>
    </row>
    <row r="284" spans="1:9" s="93" customFormat="1" ht="16.5">
      <c r="A284" s="94"/>
      <c r="B284" s="95"/>
      <c r="C284" s="93" t="str">
        <f t="shared" si="12"/>
        <v/>
      </c>
      <c r="D284" s="94"/>
      <c r="E284" s="95"/>
      <c r="F284" s="93" t="str">
        <f t="shared" si="13"/>
        <v/>
      </c>
      <c r="G284" s="94"/>
      <c r="H284" s="95"/>
      <c r="I284" s="93" t="str">
        <f t="shared" si="14"/>
        <v/>
      </c>
    </row>
    <row r="285" spans="1:9" s="93" customFormat="1" ht="16.5">
      <c r="A285" s="94"/>
      <c r="B285" s="95"/>
      <c r="C285" s="93" t="str">
        <f t="shared" si="12"/>
        <v/>
      </c>
      <c r="D285" s="94"/>
      <c r="E285" s="95"/>
      <c r="F285" s="93" t="str">
        <f t="shared" si="13"/>
        <v/>
      </c>
      <c r="G285" s="94"/>
      <c r="H285" s="95"/>
      <c r="I285" s="93" t="str">
        <f t="shared" si="14"/>
        <v/>
      </c>
    </row>
    <row r="286" spans="1:9" s="93" customFormat="1" ht="16.5">
      <c r="A286" s="94"/>
      <c r="B286" s="95"/>
      <c r="C286" s="93" t="str">
        <f t="shared" si="12"/>
        <v/>
      </c>
      <c r="D286" s="94"/>
      <c r="E286" s="95"/>
      <c r="F286" s="93" t="str">
        <f t="shared" si="13"/>
        <v/>
      </c>
      <c r="G286" s="94"/>
      <c r="H286" s="95"/>
      <c r="I286" s="93" t="str">
        <f t="shared" si="14"/>
        <v/>
      </c>
    </row>
    <row r="287" spans="1:9" s="93" customFormat="1" ht="16.5">
      <c r="A287" s="94"/>
      <c r="B287" s="95"/>
      <c r="C287" s="93" t="str">
        <f t="shared" si="12"/>
        <v/>
      </c>
      <c r="D287" s="94"/>
      <c r="E287" s="95"/>
      <c r="F287" s="93" t="str">
        <f t="shared" si="13"/>
        <v/>
      </c>
      <c r="G287" s="94"/>
      <c r="H287" s="95"/>
      <c r="I287" s="93" t="str">
        <f t="shared" si="14"/>
        <v/>
      </c>
    </row>
    <row r="288" spans="1:9" s="93" customFormat="1" ht="16.5">
      <c r="A288" s="94"/>
      <c r="B288" s="95"/>
      <c r="C288" s="93" t="str">
        <f t="shared" si="12"/>
        <v/>
      </c>
      <c r="D288" s="94"/>
      <c r="E288" s="95"/>
      <c r="F288" s="93" t="str">
        <f t="shared" si="13"/>
        <v/>
      </c>
      <c r="G288" s="94"/>
      <c r="H288" s="95"/>
      <c r="I288" s="93" t="str">
        <f t="shared" si="14"/>
        <v/>
      </c>
    </row>
    <row r="289" spans="1:9" s="93" customFormat="1" ht="16.5">
      <c r="A289" s="94"/>
      <c r="B289" s="95"/>
      <c r="C289" s="93" t="str">
        <f t="shared" si="12"/>
        <v/>
      </c>
      <c r="D289" s="94"/>
      <c r="E289" s="95"/>
      <c r="F289" s="93" t="str">
        <f t="shared" si="13"/>
        <v/>
      </c>
      <c r="G289" s="94"/>
      <c r="H289" s="95"/>
      <c r="I289" s="93" t="str">
        <f t="shared" si="14"/>
        <v/>
      </c>
    </row>
    <row r="290" spans="1:9" s="93" customFormat="1" ht="16.5">
      <c r="A290" s="94"/>
      <c r="B290" s="98"/>
      <c r="C290" s="93" t="str">
        <f t="shared" si="12"/>
        <v/>
      </c>
      <c r="D290" s="94"/>
      <c r="E290" s="98"/>
      <c r="F290" s="93" t="str">
        <f t="shared" si="13"/>
        <v/>
      </c>
      <c r="G290" s="94"/>
      <c r="H290" s="98"/>
      <c r="I290" s="93" t="str">
        <f t="shared" si="14"/>
        <v/>
      </c>
    </row>
    <row r="291" spans="1:9" s="93" customFormat="1" ht="16.5">
      <c r="A291" s="94"/>
      <c r="B291" s="98"/>
      <c r="C291" s="93" t="str">
        <f t="shared" si="12"/>
        <v/>
      </c>
      <c r="D291" s="94"/>
      <c r="E291" s="98"/>
      <c r="F291" s="93" t="str">
        <f t="shared" si="13"/>
        <v/>
      </c>
      <c r="G291" s="94"/>
      <c r="H291" s="98"/>
      <c r="I291" s="93" t="str">
        <f t="shared" si="14"/>
        <v/>
      </c>
    </row>
    <row r="292" spans="1:9" s="93" customFormat="1" ht="16.5">
      <c r="A292" s="94"/>
      <c r="B292" s="98"/>
      <c r="C292" s="93" t="str">
        <f t="shared" si="12"/>
        <v/>
      </c>
      <c r="D292" s="94"/>
      <c r="E292" s="98"/>
      <c r="F292" s="93" t="str">
        <f t="shared" si="13"/>
        <v/>
      </c>
      <c r="G292" s="94"/>
      <c r="H292" s="98"/>
      <c r="I292" s="93" t="str">
        <f t="shared" si="14"/>
        <v/>
      </c>
    </row>
    <row r="293" spans="1:9" s="93" customFormat="1" ht="16.5">
      <c r="A293" s="93" t="s">
        <v>1333</v>
      </c>
      <c r="D293" s="93" t="s">
        <v>1333</v>
      </c>
      <c r="G293" s="93" t="s">
        <v>1333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5" bestFit="1" customWidth="1"/>
    <col min="2" max="2" width="8.375" style="86" bestFit="1" customWidth="1"/>
    <col min="3" max="3" width="15.75" style="87" customWidth="1"/>
    <col min="4" max="4" width="47.125" style="88" customWidth="1"/>
    <col min="5" max="5" width="56.125" style="88" customWidth="1"/>
    <col min="6" max="6" width="57.375" style="85" customWidth="1"/>
    <col min="7" max="26" width="73.375" style="85"/>
    <col min="27" max="27" width="73.375" style="85" hidden="1" customWidth="1"/>
    <col min="28" max="16384" width="73.375" style="85"/>
  </cols>
  <sheetData>
    <row r="1" spans="1:6" s="83" customFormat="1">
      <c r="A1" s="83" t="s">
        <v>494</v>
      </c>
      <c r="B1" s="83" t="s">
        <v>495</v>
      </c>
      <c r="C1" s="84" t="s">
        <v>496</v>
      </c>
      <c r="D1" s="84" t="s">
        <v>64</v>
      </c>
      <c r="E1" s="84" t="s">
        <v>65</v>
      </c>
      <c r="F1" s="83" t="s">
        <v>1260</v>
      </c>
    </row>
    <row r="2" spans="1:6" ht="84">
      <c r="A2" s="85" t="s">
        <v>1248</v>
      </c>
      <c r="B2" s="86">
        <v>1</v>
      </c>
      <c r="C2" s="87" t="s">
        <v>1009</v>
      </c>
      <c r="D2" s="88" t="s">
        <v>497</v>
      </c>
      <c r="E2" s="88" t="s">
        <v>581</v>
      </c>
      <c r="F2" s="88" t="s">
        <v>581</v>
      </c>
    </row>
    <row r="3" spans="1:6" ht="96">
      <c r="A3" s="195">
        <v>600</v>
      </c>
      <c r="B3" s="86">
        <v>2</v>
      </c>
      <c r="C3" s="87" t="s">
        <v>1009</v>
      </c>
      <c r="D3" s="88" t="s">
        <v>490</v>
      </c>
      <c r="E3" s="88" t="s">
        <v>582</v>
      </c>
      <c r="F3" s="88" t="s">
        <v>582</v>
      </c>
    </row>
    <row r="4" spans="1:6" ht="60">
      <c r="B4" s="86">
        <v>3</v>
      </c>
      <c r="C4" s="87" t="s">
        <v>1009</v>
      </c>
      <c r="D4" s="88" t="s">
        <v>498</v>
      </c>
      <c r="E4" s="88" t="s">
        <v>583</v>
      </c>
      <c r="F4" s="88" t="s">
        <v>583</v>
      </c>
    </row>
    <row r="5" spans="1:6" ht="60">
      <c r="B5" s="86">
        <v>4</v>
      </c>
      <c r="C5" s="87" t="s">
        <v>1009</v>
      </c>
      <c r="D5" s="88" t="s">
        <v>499</v>
      </c>
      <c r="E5" s="88" t="s">
        <v>584</v>
      </c>
      <c r="F5" s="88" t="s">
        <v>584</v>
      </c>
    </row>
    <row r="6" spans="1:6" ht="60">
      <c r="B6" s="86">
        <v>5</v>
      </c>
      <c r="C6" s="87" t="s">
        <v>1009</v>
      </c>
      <c r="D6" s="88" t="s">
        <v>500</v>
      </c>
      <c r="E6" s="88" t="s">
        <v>585</v>
      </c>
      <c r="F6" s="88" t="s">
        <v>585</v>
      </c>
    </row>
    <row r="7" spans="1:6" ht="48">
      <c r="B7" s="86">
        <v>6</v>
      </c>
      <c r="C7" s="87" t="s">
        <v>1009</v>
      </c>
      <c r="D7" s="88" t="s">
        <v>501</v>
      </c>
      <c r="E7" s="88" t="s">
        <v>586</v>
      </c>
      <c r="F7" s="88" t="s">
        <v>586</v>
      </c>
    </row>
    <row r="8" spans="1:6">
      <c r="B8" s="86">
        <v>7</v>
      </c>
      <c r="C8" s="87" t="s">
        <v>1009</v>
      </c>
      <c r="D8" s="88" t="s">
        <v>492</v>
      </c>
      <c r="E8" s="88" t="s">
        <v>587</v>
      </c>
      <c r="F8" s="88" t="s">
        <v>587</v>
      </c>
    </row>
    <row r="9" spans="1:6" ht="48">
      <c r="B9" s="86">
        <v>8</v>
      </c>
      <c r="C9" s="87" t="s">
        <v>1166</v>
      </c>
      <c r="D9" s="88" t="s">
        <v>1163</v>
      </c>
      <c r="E9" s="88" t="s">
        <v>1081</v>
      </c>
      <c r="F9" s="88" t="s">
        <v>1081</v>
      </c>
    </row>
    <row r="10" spans="1:6" ht="48">
      <c r="B10" s="86">
        <v>9</v>
      </c>
      <c r="C10" s="87" t="s">
        <v>1166</v>
      </c>
      <c r="D10" s="88" t="s">
        <v>1144</v>
      </c>
      <c r="E10" s="88" t="s">
        <v>1105</v>
      </c>
      <c r="F10" s="88" t="s">
        <v>1105</v>
      </c>
    </row>
    <row r="11" spans="1:6" ht="60">
      <c r="B11" s="86">
        <v>10</v>
      </c>
      <c r="C11" s="87" t="s">
        <v>1166</v>
      </c>
      <c r="D11" s="88" t="s">
        <v>1164</v>
      </c>
      <c r="E11" s="88" t="s">
        <v>1146</v>
      </c>
      <c r="F11" s="88" t="s">
        <v>1146</v>
      </c>
    </row>
    <row r="12" spans="1:6" ht="48">
      <c r="B12" s="86">
        <v>11</v>
      </c>
      <c r="C12" s="87" t="s">
        <v>1166</v>
      </c>
      <c r="D12" s="88" t="s">
        <v>1149</v>
      </c>
      <c r="E12" s="88" t="s">
        <v>1148</v>
      </c>
      <c r="F12" s="88" t="s">
        <v>1148</v>
      </c>
    </row>
    <row r="13" spans="1:6" ht="72">
      <c r="B13" s="86">
        <v>12</v>
      </c>
      <c r="C13" s="87" t="s">
        <v>1166</v>
      </c>
      <c r="D13" s="88" t="s">
        <v>1150</v>
      </c>
      <c r="E13" s="88" t="s">
        <v>1109</v>
      </c>
      <c r="F13" s="88" t="s">
        <v>1109</v>
      </c>
    </row>
    <row r="14" spans="1:6">
      <c r="B14" s="86">
        <v>101</v>
      </c>
      <c r="D14" s="88" t="s">
        <v>66</v>
      </c>
      <c r="E14" s="88" t="s">
        <v>588</v>
      </c>
      <c r="F14" s="88" t="s">
        <v>588</v>
      </c>
    </row>
    <row r="15" spans="1:6">
      <c r="B15" s="86">
        <v>102</v>
      </c>
      <c r="D15" s="88" t="s">
        <v>67</v>
      </c>
      <c r="E15" s="88" t="s">
        <v>589</v>
      </c>
      <c r="F15" s="88" t="s">
        <v>589</v>
      </c>
    </row>
    <row r="16" spans="1:6">
      <c r="B16" s="86">
        <v>103</v>
      </c>
      <c r="D16" s="88" t="s">
        <v>68</v>
      </c>
      <c r="E16" s="88" t="s">
        <v>590</v>
      </c>
      <c r="F16" s="88" t="s">
        <v>590</v>
      </c>
    </row>
    <row r="17" spans="1:6">
      <c r="B17" s="86">
        <v>104</v>
      </c>
      <c r="D17" s="88" t="s">
        <v>69</v>
      </c>
      <c r="E17" s="88" t="s">
        <v>591</v>
      </c>
      <c r="F17" s="88" t="s">
        <v>591</v>
      </c>
    </row>
    <row r="18" spans="1:6">
      <c r="B18" s="86">
        <v>105</v>
      </c>
      <c r="D18" s="88" t="s">
        <v>70</v>
      </c>
      <c r="E18" s="88" t="s">
        <v>592</v>
      </c>
      <c r="F18" s="88" t="s">
        <v>592</v>
      </c>
    </row>
    <row r="19" spans="1:6" ht="24">
      <c r="B19" s="86">
        <v>106</v>
      </c>
      <c r="D19" s="88" t="s">
        <v>413</v>
      </c>
      <c r="E19" s="88" t="s">
        <v>593</v>
      </c>
      <c r="F19" s="88" t="s">
        <v>593</v>
      </c>
    </row>
    <row r="20" spans="1:6" ht="36">
      <c r="B20" s="86">
        <v>107</v>
      </c>
      <c r="D20" s="88" t="s">
        <v>414</v>
      </c>
      <c r="E20" s="88" t="s">
        <v>594</v>
      </c>
      <c r="F20" s="88" t="s">
        <v>594</v>
      </c>
    </row>
    <row r="21" spans="1:6" ht="36">
      <c r="B21" s="86">
        <v>108</v>
      </c>
      <c r="D21" s="88" t="s">
        <v>415</v>
      </c>
      <c r="E21" s="88" t="s">
        <v>595</v>
      </c>
      <c r="F21" s="88" t="s">
        <v>595</v>
      </c>
    </row>
    <row r="22" spans="1:6">
      <c r="B22" s="86">
        <v>109</v>
      </c>
      <c r="D22" s="88" t="s">
        <v>71</v>
      </c>
      <c r="E22" s="88" t="s">
        <v>596</v>
      </c>
      <c r="F22" s="88" t="s">
        <v>596</v>
      </c>
    </row>
    <row r="23" spans="1:6">
      <c r="B23" s="86">
        <v>110</v>
      </c>
      <c r="D23" s="88" t="s">
        <v>72</v>
      </c>
      <c r="E23" s="88" t="s">
        <v>597</v>
      </c>
      <c r="F23" s="88" t="s">
        <v>597</v>
      </c>
    </row>
    <row r="24" spans="1:6">
      <c r="B24" s="86">
        <v>111</v>
      </c>
      <c r="D24" s="88" t="s">
        <v>73</v>
      </c>
      <c r="E24" s="88" t="s">
        <v>598</v>
      </c>
      <c r="F24" s="88" t="s">
        <v>598</v>
      </c>
    </row>
    <row r="25" spans="1:6">
      <c r="A25" s="196"/>
      <c r="B25" s="86">
        <v>112</v>
      </c>
      <c r="C25" s="197" t="s">
        <v>485</v>
      </c>
      <c r="D25" s="195" t="s">
        <v>502</v>
      </c>
      <c r="E25" s="195" t="s">
        <v>572</v>
      </c>
      <c r="F25" s="195" t="s">
        <v>572</v>
      </c>
    </row>
    <row r="26" spans="1:6">
      <c r="B26" s="86">
        <v>113</v>
      </c>
      <c r="D26" s="88" t="s">
        <v>74</v>
      </c>
      <c r="E26" s="88" t="s">
        <v>572</v>
      </c>
      <c r="F26" s="88" t="s">
        <v>572</v>
      </c>
    </row>
    <row r="27" spans="1:6">
      <c r="B27" s="86">
        <v>114</v>
      </c>
      <c r="C27" s="87" t="s">
        <v>1079</v>
      </c>
      <c r="D27" s="88" t="s">
        <v>1115</v>
      </c>
      <c r="E27" s="88" t="s">
        <v>1088</v>
      </c>
      <c r="F27" s="88" t="s">
        <v>1088</v>
      </c>
    </row>
    <row r="28" spans="1:6">
      <c r="B28" s="86">
        <v>115</v>
      </c>
      <c r="D28" s="88" t="s">
        <v>1201</v>
      </c>
      <c r="E28" s="88" t="s">
        <v>1202</v>
      </c>
      <c r="F28" s="88" t="s">
        <v>1202</v>
      </c>
    </row>
    <row r="29" spans="1:6">
      <c r="B29" s="86">
        <v>116</v>
      </c>
      <c r="D29" s="88" t="s">
        <v>75</v>
      </c>
      <c r="E29" s="88" t="s">
        <v>599</v>
      </c>
      <c r="F29" s="88" t="s">
        <v>599</v>
      </c>
    </row>
    <row r="30" spans="1:6">
      <c r="B30" s="86">
        <v>117</v>
      </c>
      <c r="D30" s="88" t="s">
        <v>76</v>
      </c>
      <c r="E30" s="88" t="s">
        <v>600</v>
      </c>
      <c r="F30" s="88" t="s">
        <v>600</v>
      </c>
    </row>
    <row r="31" spans="1:6" ht="24">
      <c r="B31" s="86">
        <v>118</v>
      </c>
      <c r="D31" s="88" t="s">
        <v>416</v>
      </c>
      <c r="E31" s="88" t="s">
        <v>601</v>
      </c>
      <c r="F31" s="88" t="s">
        <v>601</v>
      </c>
    </row>
    <row r="32" spans="1:6">
      <c r="B32" s="86">
        <v>119</v>
      </c>
      <c r="D32" s="88" t="s">
        <v>1044</v>
      </c>
      <c r="E32" s="88" t="s">
        <v>1045</v>
      </c>
      <c r="F32" s="88" t="s">
        <v>1045</v>
      </c>
    </row>
    <row r="33" spans="2:6">
      <c r="B33" s="86">
        <v>120</v>
      </c>
      <c r="D33" s="88" t="s">
        <v>1021</v>
      </c>
      <c r="E33" s="88" t="s">
        <v>1022</v>
      </c>
      <c r="F33" s="88" t="s">
        <v>1022</v>
      </c>
    </row>
    <row r="34" spans="2:6" ht="24">
      <c r="B34" s="86">
        <v>121</v>
      </c>
      <c r="D34" s="88" t="s">
        <v>77</v>
      </c>
      <c r="E34" s="88" t="s">
        <v>602</v>
      </c>
      <c r="F34" s="88" t="s">
        <v>602</v>
      </c>
    </row>
    <row r="35" spans="2:6">
      <c r="B35" s="86">
        <v>122</v>
      </c>
      <c r="D35" s="88" t="s">
        <v>78</v>
      </c>
      <c r="E35" s="88" t="s">
        <v>603</v>
      </c>
      <c r="F35" s="88" t="s">
        <v>603</v>
      </c>
    </row>
    <row r="36" spans="2:6">
      <c r="B36" s="86">
        <v>123</v>
      </c>
      <c r="D36" s="88" t="s">
        <v>411</v>
      </c>
      <c r="E36" s="88" t="s">
        <v>556</v>
      </c>
      <c r="F36" s="88" t="s">
        <v>556</v>
      </c>
    </row>
    <row r="37" spans="2:6">
      <c r="B37" s="86">
        <v>124</v>
      </c>
      <c r="D37" s="88" t="s">
        <v>79</v>
      </c>
      <c r="E37" s="88" t="s">
        <v>604</v>
      </c>
      <c r="F37" s="88" t="s">
        <v>604</v>
      </c>
    </row>
    <row r="38" spans="2:6" ht="24">
      <c r="B38" s="86">
        <v>125</v>
      </c>
      <c r="D38" s="88" t="s">
        <v>1048</v>
      </c>
      <c r="E38" s="88" t="s">
        <v>1049</v>
      </c>
      <c r="F38" s="88" t="s">
        <v>1049</v>
      </c>
    </row>
    <row r="39" spans="2:6" ht="24">
      <c r="B39" s="86">
        <v>126</v>
      </c>
      <c r="D39" s="88" t="s">
        <v>1047</v>
      </c>
      <c r="E39" s="88" t="s">
        <v>1046</v>
      </c>
      <c r="F39" s="88" t="s">
        <v>1046</v>
      </c>
    </row>
    <row r="40" spans="2:6" ht="24">
      <c r="B40" s="86">
        <v>127</v>
      </c>
      <c r="D40" s="88" t="s">
        <v>80</v>
      </c>
      <c r="E40" s="88" t="s">
        <v>605</v>
      </c>
      <c r="F40" s="88" t="s">
        <v>605</v>
      </c>
    </row>
    <row r="41" spans="2:6" ht="24">
      <c r="B41" s="86">
        <v>128</v>
      </c>
      <c r="D41" s="88" t="s">
        <v>81</v>
      </c>
      <c r="E41" s="88" t="s">
        <v>606</v>
      </c>
      <c r="F41" s="88" t="s">
        <v>606</v>
      </c>
    </row>
    <row r="42" spans="2:6" ht="24">
      <c r="B42" s="86">
        <v>129</v>
      </c>
      <c r="D42" s="88" t="s">
        <v>412</v>
      </c>
      <c r="E42" s="88" t="s">
        <v>557</v>
      </c>
      <c r="F42" s="88" t="s">
        <v>557</v>
      </c>
    </row>
    <row r="43" spans="2:6">
      <c r="B43" s="86">
        <v>130</v>
      </c>
      <c r="D43" s="88" t="s">
        <v>82</v>
      </c>
      <c r="E43" s="88" t="s">
        <v>607</v>
      </c>
      <c r="F43" s="88" t="s">
        <v>607</v>
      </c>
    </row>
    <row r="44" spans="2:6">
      <c r="B44" s="86">
        <v>131</v>
      </c>
      <c r="D44" s="88" t="s">
        <v>417</v>
      </c>
      <c r="E44" s="88" t="s">
        <v>608</v>
      </c>
      <c r="F44" s="88" t="s">
        <v>608</v>
      </c>
    </row>
    <row r="45" spans="2:6">
      <c r="B45" s="86">
        <v>132</v>
      </c>
      <c r="D45" s="88" t="s">
        <v>83</v>
      </c>
      <c r="E45" s="88" t="s">
        <v>609</v>
      </c>
      <c r="F45" s="88" t="s">
        <v>609</v>
      </c>
    </row>
    <row r="46" spans="2:6">
      <c r="B46" s="86">
        <v>133</v>
      </c>
      <c r="D46" s="88" t="s">
        <v>1351</v>
      </c>
      <c r="E46" s="88" t="s">
        <v>610</v>
      </c>
      <c r="F46" s="88" t="s">
        <v>610</v>
      </c>
    </row>
    <row r="47" spans="2:6">
      <c r="B47" s="86">
        <v>134</v>
      </c>
      <c r="D47" s="88" t="s">
        <v>1350</v>
      </c>
      <c r="E47" s="88" t="s">
        <v>611</v>
      </c>
      <c r="F47" s="88" t="s">
        <v>611</v>
      </c>
    </row>
    <row r="48" spans="2:6">
      <c r="B48" s="86">
        <v>135</v>
      </c>
      <c r="D48" s="195" t="s">
        <v>1349</v>
      </c>
      <c r="E48" s="198">
        <v>43435</v>
      </c>
      <c r="F48" s="198">
        <v>43435</v>
      </c>
    </row>
    <row r="49" spans="2:6">
      <c r="B49" s="86">
        <v>136</v>
      </c>
      <c r="D49" s="195" t="s">
        <v>418</v>
      </c>
      <c r="E49" s="198">
        <v>43465</v>
      </c>
      <c r="F49" s="198">
        <v>43465</v>
      </c>
    </row>
    <row r="50" spans="2:6">
      <c r="B50" s="86">
        <v>137</v>
      </c>
      <c r="D50" s="88" t="s">
        <v>84</v>
      </c>
      <c r="E50" s="88" t="s">
        <v>84</v>
      </c>
      <c r="F50" s="88" t="s">
        <v>84</v>
      </c>
    </row>
    <row r="51" spans="2:6">
      <c r="B51" s="86">
        <v>138</v>
      </c>
      <c r="D51" s="88" t="s">
        <v>85</v>
      </c>
      <c r="E51" s="88" t="s">
        <v>612</v>
      </c>
      <c r="F51" s="88" t="s">
        <v>612</v>
      </c>
    </row>
    <row r="52" spans="2:6">
      <c r="B52" s="86">
        <v>139</v>
      </c>
      <c r="C52" s="87" t="s">
        <v>503</v>
      </c>
      <c r="D52" s="88" t="s">
        <v>504</v>
      </c>
      <c r="E52" s="88" t="s">
        <v>505</v>
      </c>
      <c r="F52" s="88" t="s">
        <v>505</v>
      </c>
    </row>
    <row r="53" spans="2:6" ht="24">
      <c r="B53" s="86">
        <v>140</v>
      </c>
      <c r="D53" s="88" t="s">
        <v>86</v>
      </c>
      <c r="E53" s="88" t="s">
        <v>613</v>
      </c>
      <c r="F53" s="88" t="s">
        <v>613</v>
      </c>
    </row>
    <row r="54" spans="2:6" ht="24">
      <c r="B54" s="86">
        <v>141</v>
      </c>
      <c r="D54" s="88" t="s">
        <v>87</v>
      </c>
      <c r="E54" s="88" t="s">
        <v>614</v>
      </c>
      <c r="F54" s="88" t="s">
        <v>614</v>
      </c>
    </row>
    <row r="55" spans="2:6">
      <c r="B55" s="86">
        <v>142</v>
      </c>
      <c r="D55" s="88" t="s">
        <v>1011</v>
      </c>
      <c r="E55" s="88" t="s">
        <v>1012</v>
      </c>
      <c r="F55" s="88" t="s">
        <v>1012</v>
      </c>
    </row>
    <row r="56" spans="2:6">
      <c r="B56" s="86">
        <v>143</v>
      </c>
      <c r="C56" s="87" t="s">
        <v>580</v>
      </c>
      <c r="D56" s="85" t="s">
        <v>419</v>
      </c>
      <c r="E56" s="199" t="s">
        <v>569</v>
      </c>
      <c r="F56" s="199" t="s">
        <v>569</v>
      </c>
    </row>
    <row r="57" spans="2:6">
      <c r="B57" s="86">
        <v>144</v>
      </c>
      <c r="D57" s="88" t="s">
        <v>88</v>
      </c>
      <c r="E57" s="88" t="s">
        <v>615</v>
      </c>
      <c r="F57" s="88" t="s">
        <v>615</v>
      </c>
    </row>
    <row r="58" spans="2:6" ht="24">
      <c r="B58" s="86">
        <v>145</v>
      </c>
      <c r="D58" s="88" t="s">
        <v>89</v>
      </c>
      <c r="E58" s="88" t="s">
        <v>616</v>
      </c>
      <c r="F58" s="88" t="s">
        <v>616</v>
      </c>
    </row>
    <row r="59" spans="2:6">
      <c r="B59" s="86">
        <v>146</v>
      </c>
      <c r="D59" s="88" t="s">
        <v>90</v>
      </c>
      <c r="E59" s="88" t="s">
        <v>617</v>
      </c>
      <c r="F59" s="88" t="s">
        <v>617</v>
      </c>
    </row>
    <row r="60" spans="2:6" ht="24">
      <c r="B60" s="86">
        <v>147</v>
      </c>
      <c r="D60" s="88" t="s">
        <v>91</v>
      </c>
      <c r="E60" s="88" t="s">
        <v>618</v>
      </c>
      <c r="F60" s="88" t="s">
        <v>618</v>
      </c>
    </row>
    <row r="61" spans="2:6">
      <c r="B61" s="86">
        <v>148</v>
      </c>
      <c r="D61" s="88" t="s">
        <v>1013</v>
      </c>
      <c r="E61" s="88" t="s">
        <v>1014</v>
      </c>
      <c r="F61" s="88" t="s">
        <v>1014</v>
      </c>
    </row>
    <row r="62" spans="2:6">
      <c r="B62" s="86">
        <v>149</v>
      </c>
      <c r="D62" s="88" t="s">
        <v>1015</v>
      </c>
      <c r="E62" s="88" t="s">
        <v>1016</v>
      </c>
      <c r="F62" s="88" t="s">
        <v>1016</v>
      </c>
    </row>
    <row r="63" spans="2:6">
      <c r="B63" s="86">
        <v>150</v>
      </c>
      <c r="D63" s="88" t="s">
        <v>92</v>
      </c>
      <c r="E63" s="88" t="s">
        <v>619</v>
      </c>
      <c r="F63" s="88" t="s">
        <v>619</v>
      </c>
    </row>
    <row r="64" spans="2:6">
      <c r="B64" s="86">
        <v>151</v>
      </c>
      <c r="C64" s="87" t="s">
        <v>580</v>
      </c>
      <c r="D64" s="85" t="s">
        <v>420</v>
      </c>
      <c r="E64" s="199" t="s">
        <v>568</v>
      </c>
      <c r="F64" s="199" t="s">
        <v>568</v>
      </c>
    </row>
    <row r="65" spans="1:6">
      <c r="B65" s="86">
        <v>152</v>
      </c>
      <c r="D65" s="88" t="s">
        <v>93</v>
      </c>
      <c r="E65" s="88" t="s">
        <v>620</v>
      </c>
      <c r="F65" s="88" t="s">
        <v>620</v>
      </c>
    </row>
    <row r="66" spans="1:6">
      <c r="B66" s="86">
        <v>153</v>
      </c>
      <c r="D66" s="88" t="s">
        <v>94</v>
      </c>
      <c r="E66" s="88" t="s">
        <v>621</v>
      </c>
      <c r="F66" s="88" t="s">
        <v>621</v>
      </c>
    </row>
    <row r="67" spans="1:6">
      <c r="B67" s="86">
        <v>154</v>
      </c>
      <c r="D67" s="88" t="s">
        <v>95</v>
      </c>
      <c r="E67" s="88" t="s">
        <v>622</v>
      </c>
      <c r="F67" s="88" t="s">
        <v>622</v>
      </c>
    </row>
    <row r="68" spans="1:6" ht="24">
      <c r="B68" s="86">
        <v>155</v>
      </c>
      <c r="D68" s="88" t="s">
        <v>96</v>
      </c>
      <c r="E68" s="88" t="s">
        <v>623</v>
      </c>
      <c r="F68" s="88" t="s">
        <v>623</v>
      </c>
    </row>
    <row r="69" spans="1:6">
      <c r="B69" s="86">
        <v>156</v>
      </c>
      <c r="C69" s="87" t="s">
        <v>580</v>
      </c>
      <c r="D69" s="85" t="s">
        <v>578</v>
      </c>
      <c r="E69" s="199" t="s">
        <v>571</v>
      </c>
      <c r="F69" s="199" t="s">
        <v>571</v>
      </c>
    </row>
    <row r="70" spans="1:6">
      <c r="B70" s="86">
        <v>157</v>
      </c>
      <c r="C70" s="87" t="s">
        <v>580</v>
      </c>
      <c r="D70" s="85" t="s">
        <v>577</v>
      </c>
      <c r="E70" s="199" t="s">
        <v>570</v>
      </c>
      <c r="F70" s="199" t="s">
        <v>570</v>
      </c>
    </row>
    <row r="71" spans="1:6">
      <c r="B71" s="86">
        <v>158</v>
      </c>
      <c r="D71" s="88" t="s">
        <v>421</v>
      </c>
      <c r="E71" s="88" t="s">
        <v>624</v>
      </c>
      <c r="F71" s="88" t="s">
        <v>624</v>
      </c>
    </row>
    <row r="72" spans="1:6">
      <c r="A72" s="200"/>
      <c r="B72" s="86">
        <v>159</v>
      </c>
      <c r="C72" s="197" t="s">
        <v>485</v>
      </c>
      <c r="D72" s="195" t="s">
        <v>506</v>
      </c>
      <c r="E72" s="195" t="s">
        <v>625</v>
      </c>
      <c r="F72" s="195" t="s">
        <v>625</v>
      </c>
    </row>
    <row r="73" spans="1:6">
      <c r="B73" s="86">
        <v>160</v>
      </c>
      <c r="D73" s="88" t="s">
        <v>97</v>
      </c>
      <c r="E73" s="195" t="s">
        <v>626</v>
      </c>
      <c r="F73" s="195" t="s">
        <v>626</v>
      </c>
    </row>
    <row r="74" spans="1:6">
      <c r="B74" s="86">
        <v>161</v>
      </c>
      <c r="D74" s="88" t="s">
        <v>98</v>
      </c>
      <c r="E74" s="195" t="s">
        <v>627</v>
      </c>
      <c r="F74" s="195" t="s">
        <v>627</v>
      </c>
    </row>
    <row r="75" spans="1:6">
      <c r="B75" s="86">
        <v>162</v>
      </c>
      <c r="D75" s="88" t="s">
        <v>1037</v>
      </c>
      <c r="E75" s="88" t="s">
        <v>1032</v>
      </c>
      <c r="F75" s="88" t="s">
        <v>1032</v>
      </c>
    </row>
    <row r="76" spans="1:6">
      <c r="B76" s="86">
        <v>163</v>
      </c>
      <c r="D76" s="88" t="s">
        <v>1033</v>
      </c>
      <c r="E76" s="88" t="s">
        <v>1034</v>
      </c>
      <c r="F76" s="88" t="s">
        <v>1034</v>
      </c>
    </row>
    <row r="77" spans="1:6">
      <c r="B77" s="86">
        <v>164</v>
      </c>
      <c r="D77" s="88" t="s">
        <v>1030</v>
      </c>
      <c r="E77" s="88" t="s">
        <v>1031</v>
      </c>
      <c r="F77" s="88" t="s">
        <v>1031</v>
      </c>
    </row>
    <row r="78" spans="1:6">
      <c r="A78" s="200"/>
      <c r="B78" s="86">
        <v>165</v>
      </c>
      <c r="C78" s="197" t="s">
        <v>485</v>
      </c>
      <c r="D78" s="195" t="s">
        <v>507</v>
      </c>
      <c r="E78" s="195" t="s">
        <v>628</v>
      </c>
      <c r="F78" s="195" t="s">
        <v>628</v>
      </c>
    </row>
    <row r="79" spans="1:6">
      <c r="A79" s="200"/>
      <c r="B79" s="86">
        <v>166</v>
      </c>
      <c r="C79" s="197" t="s">
        <v>485</v>
      </c>
      <c r="D79" s="195" t="s">
        <v>508</v>
      </c>
      <c r="E79" s="195" t="s">
        <v>629</v>
      </c>
      <c r="F79" s="195" t="s">
        <v>629</v>
      </c>
    </row>
    <row r="80" spans="1:6">
      <c r="A80" s="200"/>
      <c r="B80" s="86">
        <v>167</v>
      </c>
      <c r="C80" s="197" t="s">
        <v>485</v>
      </c>
      <c r="D80" s="195" t="s">
        <v>509</v>
      </c>
      <c r="E80" s="195" t="s">
        <v>630</v>
      </c>
      <c r="F80" s="195" t="s">
        <v>630</v>
      </c>
    </row>
    <row r="81" spans="1:6">
      <c r="A81" s="200"/>
      <c r="B81" s="86">
        <v>168</v>
      </c>
      <c r="C81" s="197" t="s">
        <v>485</v>
      </c>
      <c r="D81" s="195" t="s">
        <v>493</v>
      </c>
      <c r="E81" s="195" t="s">
        <v>631</v>
      </c>
      <c r="F81" s="195" t="s">
        <v>631</v>
      </c>
    </row>
    <row r="82" spans="1:6">
      <c r="B82" s="86">
        <v>169</v>
      </c>
      <c r="D82" s="88" t="s">
        <v>99</v>
      </c>
      <c r="E82" s="88" t="s">
        <v>632</v>
      </c>
      <c r="F82" s="88" t="s">
        <v>632</v>
      </c>
    </row>
    <row r="83" spans="1:6">
      <c r="B83" s="86">
        <v>170</v>
      </c>
      <c r="D83" s="88" t="s">
        <v>100</v>
      </c>
      <c r="E83" s="88" t="s">
        <v>633</v>
      </c>
      <c r="F83" s="88" t="s">
        <v>633</v>
      </c>
    </row>
    <row r="84" spans="1:6">
      <c r="B84" s="86">
        <v>171</v>
      </c>
      <c r="D84" s="88" t="s">
        <v>510</v>
      </c>
      <c r="E84" s="88" t="s">
        <v>634</v>
      </c>
      <c r="F84" s="88" t="s">
        <v>634</v>
      </c>
    </row>
    <row r="85" spans="1:6">
      <c r="B85" s="86">
        <v>172</v>
      </c>
      <c r="D85" s="88" t="s">
        <v>101</v>
      </c>
      <c r="E85" s="88" t="s">
        <v>635</v>
      </c>
      <c r="F85" s="88" t="s">
        <v>635</v>
      </c>
    </row>
    <row r="86" spans="1:6">
      <c r="B86" s="86">
        <v>173</v>
      </c>
      <c r="D86" s="88" t="s">
        <v>102</v>
      </c>
      <c r="E86" s="88" t="s">
        <v>636</v>
      </c>
      <c r="F86" s="88" t="s">
        <v>636</v>
      </c>
    </row>
    <row r="87" spans="1:6">
      <c r="B87" s="86">
        <v>174</v>
      </c>
      <c r="D87" s="88" t="s">
        <v>103</v>
      </c>
      <c r="E87" s="88" t="s">
        <v>1077</v>
      </c>
      <c r="F87" s="88" t="s">
        <v>1077</v>
      </c>
    </row>
    <row r="88" spans="1:6">
      <c r="B88" s="86">
        <v>175</v>
      </c>
      <c r="D88" s="88" t="s">
        <v>104</v>
      </c>
      <c r="E88" s="88" t="s">
        <v>637</v>
      </c>
      <c r="F88" s="88" t="s">
        <v>637</v>
      </c>
    </row>
    <row r="89" spans="1:6" ht="24">
      <c r="B89" s="86">
        <v>176</v>
      </c>
      <c r="D89" s="88" t="s">
        <v>105</v>
      </c>
      <c r="E89" s="88" t="s">
        <v>562</v>
      </c>
      <c r="F89" s="88" t="s">
        <v>562</v>
      </c>
    </row>
    <row r="90" spans="1:6">
      <c r="B90" s="86">
        <v>177</v>
      </c>
      <c r="D90" s="88" t="s">
        <v>106</v>
      </c>
      <c r="E90" s="88" t="s">
        <v>638</v>
      </c>
      <c r="F90" s="88" t="s">
        <v>638</v>
      </c>
    </row>
    <row r="91" spans="1:6">
      <c r="B91" s="86">
        <v>178</v>
      </c>
      <c r="D91" s="88" t="s">
        <v>107</v>
      </c>
      <c r="E91" s="88" t="s">
        <v>639</v>
      </c>
      <c r="F91" s="88" t="s">
        <v>639</v>
      </c>
    </row>
    <row r="92" spans="1:6">
      <c r="B92" s="86">
        <v>179</v>
      </c>
      <c r="D92" s="88" t="s">
        <v>108</v>
      </c>
      <c r="E92" s="88" t="s">
        <v>640</v>
      </c>
      <c r="F92" s="88" t="s">
        <v>640</v>
      </c>
    </row>
    <row r="93" spans="1:6">
      <c r="B93" s="86">
        <v>180</v>
      </c>
      <c r="D93" s="88" t="s">
        <v>422</v>
      </c>
      <c r="E93" s="88" t="s">
        <v>641</v>
      </c>
      <c r="F93" s="88" t="s">
        <v>641</v>
      </c>
    </row>
    <row r="94" spans="1:6">
      <c r="B94" s="86">
        <v>181</v>
      </c>
      <c r="C94" s="87" t="s">
        <v>1079</v>
      </c>
      <c r="D94" s="88" t="s">
        <v>1132</v>
      </c>
      <c r="E94" s="88" t="s">
        <v>1095</v>
      </c>
      <c r="F94" s="88" t="s">
        <v>1095</v>
      </c>
    </row>
    <row r="95" spans="1:6" ht="36">
      <c r="B95" s="86">
        <v>182</v>
      </c>
      <c r="C95" s="87" t="s">
        <v>1079</v>
      </c>
      <c r="D95" s="88" t="s">
        <v>1165</v>
      </c>
      <c r="E95" s="88" t="s">
        <v>1104</v>
      </c>
      <c r="F95" s="88" t="s">
        <v>1104</v>
      </c>
    </row>
    <row r="96" spans="1:6">
      <c r="B96" s="86">
        <v>183</v>
      </c>
      <c r="D96" s="88" t="s">
        <v>109</v>
      </c>
      <c r="E96" s="88" t="s">
        <v>642</v>
      </c>
      <c r="F96" s="88" t="s">
        <v>642</v>
      </c>
    </row>
    <row r="97" spans="2:6">
      <c r="B97" s="86">
        <v>184</v>
      </c>
      <c r="D97" s="88" t="s">
        <v>1255</v>
      </c>
      <c r="E97" s="88" t="s">
        <v>1337</v>
      </c>
      <c r="F97" s="88" t="s">
        <v>1337</v>
      </c>
    </row>
    <row r="98" spans="2:6">
      <c r="B98" s="86">
        <v>185</v>
      </c>
      <c r="D98" s="88" t="s">
        <v>110</v>
      </c>
      <c r="E98" s="88" t="s">
        <v>643</v>
      </c>
      <c r="F98" s="88" t="s">
        <v>643</v>
      </c>
    </row>
    <row r="99" spans="2:6" ht="24">
      <c r="B99" s="86">
        <v>186</v>
      </c>
      <c r="D99" s="88" t="s">
        <v>111</v>
      </c>
      <c r="E99" s="88" t="s">
        <v>644</v>
      </c>
      <c r="F99" s="88" t="s">
        <v>644</v>
      </c>
    </row>
    <row r="100" spans="2:6" ht="24">
      <c r="B100" s="86">
        <v>187</v>
      </c>
      <c r="D100" s="88" t="s">
        <v>112</v>
      </c>
      <c r="E100" s="88" t="s">
        <v>645</v>
      </c>
      <c r="F100" s="88" t="s">
        <v>645</v>
      </c>
    </row>
    <row r="101" spans="2:6" ht="24">
      <c r="B101" s="86">
        <v>188</v>
      </c>
      <c r="D101" s="88" t="s">
        <v>113</v>
      </c>
      <c r="E101" s="88" t="s">
        <v>646</v>
      </c>
      <c r="F101" s="88" t="s">
        <v>646</v>
      </c>
    </row>
    <row r="102" spans="2:6">
      <c r="B102" s="86">
        <v>189</v>
      </c>
      <c r="D102" s="88" t="s">
        <v>114</v>
      </c>
      <c r="E102" s="88" t="s">
        <v>647</v>
      </c>
      <c r="F102" s="88" t="s">
        <v>647</v>
      </c>
    </row>
    <row r="103" spans="2:6">
      <c r="B103" s="86">
        <v>190</v>
      </c>
      <c r="C103" s="87" t="s">
        <v>1079</v>
      </c>
      <c r="D103" s="88" t="s">
        <v>1130</v>
      </c>
      <c r="E103" s="88" t="s">
        <v>1094</v>
      </c>
      <c r="F103" s="88" t="s">
        <v>1094</v>
      </c>
    </row>
    <row r="104" spans="2:6">
      <c r="B104" s="86">
        <v>191</v>
      </c>
      <c r="D104" s="88" t="s">
        <v>1172</v>
      </c>
      <c r="E104" s="88" t="s">
        <v>1173</v>
      </c>
      <c r="F104" s="88" t="s">
        <v>1173</v>
      </c>
    </row>
    <row r="105" spans="2:6">
      <c r="B105" s="86">
        <v>192</v>
      </c>
      <c r="D105" s="88" t="s">
        <v>541</v>
      </c>
      <c r="E105" s="88" t="s">
        <v>543</v>
      </c>
      <c r="F105" s="88" t="s">
        <v>543</v>
      </c>
    </row>
    <row r="106" spans="2:6">
      <c r="B106" s="86">
        <v>193</v>
      </c>
      <c r="D106" s="88" t="s">
        <v>542</v>
      </c>
      <c r="E106" s="88" t="s">
        <v>951</v>
      </c>
      <c r="F106" s="88" t="s">
        <v>951</v>
      </c>
    </row>
    <row r="107" spans="2:6">
      <c r="B107" s="86">
        <v>194</v>
      </c>
      <c r="D107" s="88" t="s">
        <v>115</v>
      </c>
      <c r="E107" s="88" t="s">
        <v>648</v>
      </c>
      <c r="F107" s="88" t="s">
        <v>648</v>
      </c>
    </row>
    <row r="108" spans="2:6">
      <c r="B108" s="86">
        <v>195</v>
      </c>
      <c r="D108" s="88" t="s">
        <v>116</v>
      </c>
      <c r="E108" s="88" t="s">
        <v>649</v>
      </c>
      <c r="F108" s="88" t="s">
        <v>649</v>
      </c>
    </row>
    <row r="109" spans="2:6">
      <c r="B109" s="86">
        <v>196</v>
      </c>
      <c r="D109" s="88" t="s">
        <v>423</v>
      </c>
      <c r="E109" s="88" t="s">
        <v>650</v>
      </c>
      <c r="F109" s="88" t="s">
        <v>650</v>
      </c>
    </row>
    <row r="110" spans="2:6" ht="24">
      <c r="B110" s="86">
        <v>197</v>
      </c>
      <c r="D110" s="88" t="s">
        <v>424</v>
      </c>
      <c r="E110" s="88" t="s">
        <v>651</v>
      </c>
      <c r="F110" s="88" t="s">
        <v>651</v>
      </c>
    </row>
    <row r="111" spans="2:6" ht="24">
      <c r="B111" s="86">
        <v>198</v>
      </c>
      <c r="D111" s="88" t="s">
        <v>117</v>
      </c>
      <c r="E111" s="88" t="s">
        <v>652</v>
      </c>
      <c r="F111" s="88" t="s">
        <v>652</v>
      </c>
    </row>
    <row r="112" spans="2:6">
      <c r="B112" s="86">
        <v>199</v>
      </c>
      <c r="D112" s="88" t="s">
        <v>1257</v>
      </c>
      <c r="E112" s="88" t="s">
        <v>1338</v>
      </c>
      <c r="F112" s="88" t="s">
        <v>1338</v>
      </c>
    </row>
    <row r="113" spans="2:6">
      <c r="B113" s="86">
        <v>200</v>
      </c>
      <c r="D113" s="88" t="s">
        <v>118</v>
      </c>
      <c r="E113" s="88" t="s">
        <v>119</v>
      </c>
      <c r="F113" s="88" t="s">
        <v>119</v>
      </c>
    </row>
    <row r="114" spans="2:6">
      <c r="B114" s="86">
        <v>201</v>
      </c>
      <c r="D114" s="88" t="s">
        <v>1225</v>
      </c>
      <c r="E114" s="88" t="s">
        <v>1226</v>
      </c>
      <c r="F114" s="88" t="s">
        <v>1226</v>
      </c>
    </row>
    <row r="115" spans="2:6">
      <c r="B115" s="86">
        <v>202</v>
      </c>
      <c r="D115" s="88" t="s">
        <v>425</v>
      </c>
      <c r="E115" s="88" t="s">
        <v>653</v>
      </c>
      <c r="F115" s="88" t="s">
        <v>653</v>
      </c>
    </row>
    <row r="116" spans="2:6">
      <c r="B116" s="86">
        <v>203</v>
      </c>
      <c r="D116" s="88" t="s">
        <v>426</v>
      </c>
      <c r="E116" s="88" t="s">
        <v>654</v>
      </c>
      <c r="F116" s="88" t="s">
        <v>654</v>
      </c>
    </row>
    <row r="117" spans="2:6">
      <c r="B117" s="86">
        <v>204</v>
      </c>
      <c r="D117" s="88" t="s">
        <v>427</v>
      </c>
      <c r="E117" s="88" t="s">
        <v>518</v>
      </c>
      <c r="F117" s="88" t="s">
        <v>518</v>
      </c>
    </row>
    <row r="118" spans="2:6">
      <c r="B118" s="86">
        <v>205</v>
      </c>
      <c r="D118" s="88" t="s">
        <v>1205</v>
      </c>
      <c r="E118" s="88" t="s">
        <v>1204</v>
      </c>
      <c r="F118" s="88" t="s">
        <v>1204</v>
      </c>
    </row>
    <row r="119" spans="2:6">
      <c r="B119" s="86">
        <v>206</v>
      </c>
      <c r="D119" s="88" t="s">
        <v>1186</v>
      </c>
      <c r="E119" s="88" t="s">
        <v>1187</v>
      </c>
      <c r="F119" s="88" t="s">
        <v>1187</v>
      </c>
    </row>
    <row r="120" spans="2:6">
      <c r="B120" s="86">
        <v>207</v>
      </c>
      <c r="D120" s="88" t="s">
        <v>120</v>
      </c>
      <c r="E120" s="88" t="s">
        <v>655</v>
      </c>
      <c r="F120" s="88" t="s">
        <v>655</v>
      </c>
    </row>
    <row r="121" spans="2:6" ht="24">
      <c r="B121" s="86">
        <v>208</v>
      </c>
      <c r="D121" s="88" t="s">
        <v>121</v>
      </c>
      <c r="E121" s="88" t="s">
        <v>656</v>
      </c>
      <c r="F121" s="88" t="s">
        <v>656</v>
      </c>
    </row>
    <row r="122" spans="2:6" ht="24">
      <c r="B122" s="86">
        <v>209</v>
      </c>
      <c r="D122" s="88" t="s">
        <v>122</v>
      </c>
      <c r="E122" s="88" t="s">
        <v>657</v>
      </c>
      <c r="F122" s="88" t="s">
        <v>657</v>
      </c>
    </row>
    <row r="123" spans="2:6">
      <c r="B123" s="86">
        <v>210</v>
      </c>
      <c r="D123" s="88" t="s">
        <v>545</v>
      </c>
      <c r="E123" s="88" t="s">
        <v>950</v>
      </c>
      <c r="F123" s="88" t="s">
        <v>950</v>
      </c>
    </row>
    <row r="124" spans="2:6">
      <c r="B124" s="86">
        <v>211</v>
      </c>
      <c r="D124" s="88" t="s">
        <v>123</v>
      </c>
      <c r="E124" s="88" t="s">
        <v>123</v>
      </c>
      <c r="F124" s="88" t="s">
        <v>123</v>
      </c>
    </row>
    <row r="125" spans="2:6">
      <c r="B125" s="86">
        <v>212</v>
      </c>
      <c r="D125" s="88" t="s">
        <v>124</v>
      </c>
      <c r="E125" s="88" t="s">
        <v>658</v>
      </c>
      <c r="F125" s="88" t="s">
        <v>658</v>
      </c>
    </row>
    <row r="126" spans="2:6">
      <c r="B126" s="86">
        <v>213</v>
      </c>
      <c r="D126" s="88" t="s">
        <v>125</v>
      </c>
      <c r="E126" s="88" t="s">
        <v>559</v>
      </c>
      <c r="F126" s="88" t="s">
        <v>559</v>
      </c>
    </row>
    <row r="127" spans="2:6">
      <c r="B127" s="86">
        <v>214</v>
      </c>
      <c r="D127" s="88" t="s">
        <v>126</v>
      </c>
      <c r="E127" s="88" t="s">
        <v>1004</v>
      </c>
      <c r="F127" s="88" t="s">
        <v>1004</v>
      </c>
    </row>
    <row r="128" spans="2:6">
      <c r="B128" s="86">
        <v>215</v>
      </c>
      <c r="D128" s="88" t="s">
        <v>428</v>
      </c>
      <c r="E128" s="88" t="s">
        <v>659</v>
      </c>
      <c r="F128" s="88" t="s">
        <v>659</v>
      </c>
    </row>
    <row r="129" spans="2:6">
      <c r="B129" s="86">
        <v>216</v>
      </c>
      <c r="D129" s="88" t="s">
        <v>127</v>
      </c>
      <c r="E129" s="88" t="s">
        <v>660</v>
      </c>
      <c r="F129" s="88" t="s">
        <v>660</v>
      </c>
    </row>
    <row r="130" spans="2:6">
      <c r="B130" s="86">
        <v>217</v>
      </c>
      <c r="D130" s="88" t="s">
        <v>429</v>
      </c>
      <c r="E130" s="88" t="s">
        <v>661</v>
      </c>
      <c r="F130" s="88" t="s">
        <v>661</v>
      </c>
    </row>
    <row r="131" spans="2:6">
      <c r="B131" s="86">
        <v>218</v>
      </c>
      <c r="D131" s="88" t="s">
        <v>128</v>
      </c>
      <c r="E131" s="88" t="s">
        <v>662</v>
      </c>
      <c r="F131" s="88" t="s">
        <v>662</v>
      </c>
    </row>
    <row r="132" spans="2:6">
      <c r="B132" s="86">
        <v>219</v>
      </c>
      <c r="D132" s="88" t="s">
        <v>129</v>
      </c>
      <c r="E132" s="88" t="s">
        <v>663</v>
      </c>
      <c r="F132" s="88" t="s">
        <v>663</v>
      </c>
    </row>
    <row r="133" spans="2:6">
      <c r="B133" s="86">
        <v>220</v>
      </c>
      <c r="D133" s="88" t="s">
        <v>130</v>
      </c>
      <c r="E133" s="88" t="s">
        <v>664</v>
      </c>
      <c r="F133" s="88" t="s">
        <v>664</v>
      </c>
    </row>
    <row r="134" spans="2:6">
      <c r="B134" s="86">
        <v>221</v>
      </c>
      <c r="D134" s="88" t="s">
        <v>430</v>
      </c>
      <c r="E134" s="88" t="s">
        <v>665</v>
      </c>
      <c r="F134" s="88" t="s">
        <v>665</v>
      </c>
    </row>
    <row r="135" spans="2:6">
      <c r="B135" s="86">
        <v>222</v>
      </c>
      <c r="D135" s="88" t="s">
        <v>131</v>
      </c>
      <c r="E135" s="88" t="s">
        <v>666</v>
      </c>
      <c r="F135" s="88" t="s">
        <v>666</v>
      </c>
    </row>
    <row r="136" spans="2:6">
      <c r="B136" s="86">
        <v>223</v>
      </c>
      <c r="D136" s="88" t="s">
        <v>132</v>
      </c>
      <c r="E136" s="88" t="s">
        <v>667</v>
      </c>
      <c r="F136" s="88" t="s">
        <v>667</v>
      </c>
    </row>
    <row r="137" spans="2:6">
      <c r="B137" s="86">
        <v>224</v>
      </c>
      <c r="C137" s="87" t="s">
        <v>580</v>
      </c>
      <c r="D137" s="88" t="s">
        <v>971</v>
      </c>
      <c r="E137" s="88" t="s">
        <v>972</v>
      </c>
      <c r="F137" s="88" t="s">
        <v>972</v>
      </c>
    </row>
    <row r="138" spans="2:6">
      <c r="B138" s="86">
        <v>225</v>
      </c>
      <c r="D138" s="88" t="s">
        <v>133</v>
      </c>
      <c r="E138" s="88" t="s">
        <v>668</v>
      </c>
      <c r="F138" s="88" t="s">
        <v>668</v>
      </c>
    </row>
    <row r="139" spans="2:6">
      <c r="B139" s="86">
        <v>226</v>
      </c>
      <c r="D139" s="88" t="s">
        <v>1167</v>
      </c>
      <c r="E139" s="88" t="s">
        <v>1168</v>
      </c>
      <c r="F139" s="88" t="s">
        <v>1168</v>
      </c>
    </row>
    <row r="140" spans="2:6">
      <c r="B140" s="86">
        <v>227</v>
      </c>
      <c r="D140" s="88" t="s">
        <v>431</v>
      </c>
      <c r="E140" s="88" t="s">
        <v>669</v>
      </c>
      <c r="F140" s="88" t="s">
        <v>669</v>
      </c>
    </row>
    <row r="141" spans="2:6">
      <c r="B141" s="86">
        <v>228</v>
      </c>
      <c r="D141" s="88" t="s">
        <v>432</v>
      </c>
      <c r="E141" s="88" t="s">
        <v>670</v>
      </c>
      <c r="F141" s="88" t="s">
        <v>670</v>
      </c>
    </row>
    <row r="142" spans="2:6">
      <c r="B142" s="86">
        <v>229</v>
      </c>
      <c r="D142" s="88" t="s">
        <v>1064</v>
      </c>
      <c r="E142" s="88" t="s">
        <v>1065</v>
      </c>
      <c r="F142" s="88" t="s">
        <v>1065</v>
      </c>
    </row>
    <row r="143" spans="2:6">
      <c r="B143" s="86">
        <v>230</v>
      </c>
      <c r="D143" s="88" t="s">
        <v>1062</v>
      </c>
      <c r="E143" s="88" t="s">
        <v>1063</v>
      </c>
      <c r="F143" s="88" t="s">
        <v>1063</v>
      </c>
    </row>
    <row r="144" spans="2:6">
      <c r="B144" s="86">
        <v>231</v>
      </c>
      <c r="D144" s="88" t="s">
        <v>433</v>
      </c>
      <c r="E144" s="88" t="s">
        <v>671</v>
      </c>
      <c r="F144" s="88" t="s">
        <v>671</v>
      </c>
    </row>
    <row r="145" spans="2:6">
      <c r="B145" s="86">
        <v>232</v>
      </c>
      <c r="D145" s="88" t="s">
        <v>1196</v>
      </c>
      <c r="E145" s="88" t="s">
        <v>1197</v>
      </c>
      <c r="F145" s="88" t="s">
        <v>1197</v>
      </c>
    </row>
    <row r="146" spans="2:6">
      <c r="B146" s="86">
        <v>233</v>
      </c>
      <c r="D146" s="88" t="s">
        <v>434</v>
      </c>
      <c r="E146" s="88" t="s">
        <v>672</v>
      </c>
      <c r="F146" s="88" t="s">
        <v>672</v>
      </c>
    </row>
    <row r="147" spans="2:6">
      <c r="B147" s="86">
        <v>234</v>
      </c>
      <c r="D147" s="88" t="s">
        <v>435</v>
      </c>
      <c r="E147" s="88" t="s">
        <v>673</v>
      </c>
      <c r="F147" s="88" t="s">
        <v>673</v>
      </c>
    </row>
    <row r="148" spans="2:6">
      <c r="B148" s="86">
        <v>235</v>
      </c>
      <c r="D148" s="88" t="s">
        <v>134</v>
      </c>
      <c r="E148" s="88" t="s">
        <v>558</v>
      </c>
      <c r="F148" s="88" t="s">
        <v>558</v>
      </c>
    </row>
    <row r="149" spans="2:6">
      <c r="B149" s="86">
        <v>236</v>
      </c>
      <c r="D149" s="88" t="s">
        <v>436</v>
      </c>
      <c r="E149" s="88" t="s">
        <v>674</v>
      </c>
      <c r="F149" s="88" t="s">
        <v>674</v>
      </c>
    </row>
    <row r="150" spans="2:6">
      <c r="B150" s="86">
        <v>237</v>
      </c>
      <c r="D150" s="88" t="s">
        <v>1193</v>
      </c>
      <c r="E150" s="88" t="s">
        <v>1200</v>
      </c>
      <c r="F150" s="88" t="s">
        <v>1200</v>
      </c>
    </row>
    <row r="151" spans="2:6">
      <c r="B151" s="86">
        <v>238</v>
      </c>
      <c r="D151" s="88" t="s">
        <v>135</v>
      </c>
      <c r="E151" s="88" t="s">
        <v>528</v>
      </c>
      <c r="F151" s="88" t="s">
        <v>528</v>
      </c>
    </row>
    <row r="152" spans="2:6">
      <c r="B152" s="86">
        <v>239</v>
      </c>
      <c r="D152" s="88" t="s">
        <v>136</v>
      </c>
      <c r="E152" s="88" t="s">
        <v>675</v>
      </c>
      <c r="F152" s="88" t="s">
        <v>675</v>
      </c>
    </row>
    <row r="153" spans="2:6">
      <c r="B153" s="86">
        <v>240</v>
      </c>
      <c r="D153" s="88" t="s">
        <v>137</v>
      </c>
      <c r="E153" s="88" t="s">
        <v>676</v>
      </c>
      <c r="F153" s="88" t="s">
        <v>676</v>
      </c>
    </row>
    <row r="154" spans="2:6">
      <c r="B154" s="86">
        <v>241</v>
      </c>
      <c r="D154" s="88" t="s">
        <v>437</v>
      </c>
      <c r="E154" s="88" t="s">
        <v>677</v>
      </c>
      <c r="F154" s="88" t="s">
        <v>677</v>
      </c>
    </row>
    <row r="155" spans="2:6">
      <c r="B155" s="86">
        <v>242</v>
      </c>
      <c r="D155" s="88" t="s">
        <v>438</v>
      </c>
      <c r="E155" s="88" t="s">
        <v>678</v>
      </c>
      <c r="F155" s="88" t="s">
        <v>678</v>
      </c>
    </row>
    <row r="156" spans="2:6">
      <c r="B156" s="86">
        <v>243</v>
      </c>
      <c r="D156" s="88" t="s">
        <v>1169</v>
      </c>
      <c r="E156" s="88" t="s">
        <v>538</v>
      </c>
      <c r="F156" s="88" t="s">
        <v>538</v>
      </c>
    </row>
    <row r="157" spans="2:6">
      <c r="B157" s="86">
        <v>244</v>
      </c>
      <c r="D157" s="88" t="s">
        <v>525</v>
      </c>
      <c r="E157" s="88" t="s">
        <v>679</v>
      </c>
      <c r="F157" s="88" t="s">
        <v>679</v>
      </c>
    </row>
    <row r="158" spans="2:6">
      <c r="B158" s="86">
        <v>245</v>
      </c>
      <c r="D158" s="88" t="s">
        <v>439</v>
      </c>
      <c r="E158" s="88" t="s">
        <v>680</v>
      </c>
      <c r="F158" s="88" t="s">
        <v>680</v>
      </c>
    </row>
    <row r="159" spans="2:6">
      <c r="B159" s="86">
        <v>246</v>
      </c>
      <c r="D159" s="88" t="s">
        <v>440</v>
      </c>
      <c r="E159" s="88" t="s">
        <v>681</v>
      </c>
      <c r="F159" s="88" t="s">
        <v>681</v>
      </c>
    </row>
    <row r="160" spans="2:6">
      <c r="B160" s="86">
        <v>247</v>
      </c>
      <c r="D160" s="88" t="s">
        <v>1171</v>
      </c>
      <c r="E160" s="88" t="s">
        <v>1216</v>
      </c>
      <c r="F160" s="88" t="s">
        <v>1216</v>
      </c>
    </row>
    <row r="161" spans="2:6">
      <c r="B161" s="86">
        <v>248</v>
      </c>
      <c r="D161" s="88" t="s">
        <v>441</v>
      </c>
      <c r="E161" s="88" t="s">
        <v>682</v>
      </c>
      <c r="F161" s="88" t="s">
        <v>682</v>
      </c>
    </row>
    <row r="162" spans="2:6">
      <c r="B162" s="86">
        <v>249</v>
      </c>
      <c r="D162" s="88" t="s">
        <v>442</v>
      </c>
      <c r="E162" s="88" t="s">
        <v>683</v>
      </c>
      <c r="F162" s="88" t="s">
        <v>683</v>
      </c>
    </row>
    <row r="163" spans="2:6">
      <c r="B163" s="86">
        <v>250</v>
      </c>
      <c r="D163" s="88" t="s">
        <v>138</v>
      </c>
      <c r="E163" s="88" t="s">
        <v>684</v>
      </c>
      <c r="F163" s="88" t="s">
        <v>684</v>
      </c>
    </row>
    <row r="164" spans="2:6">
      <c r="B164" s="86">
        <v>251</v>
      </c>
      <c r="D164" s="88" t="s">
        <v>139</v>
      </c>
      <c r="E164" s="88" t="s">
        <v>685</v>
      </c>
      <c r="F164" s="88" t="s">
        <v>685</v>
      </c>
    </row>
    <row r="165" spans="2:6">
      <c r="B165" s="86">
        <v>252</v>
      </c>
      <c r="D165" s="88" t="s">
        <v>1170</v>
      </c>
      <c r="E165" s="88" t="s">
        <v>1215</v>
      </c>
      <c r="F165" s="88" t="s">
        <v>1215</v>
      </c>
    </row>
    <row r="166" spans="2:6">
      <c r="B166" s="86">
        <v>253</v>
      </c>
      <c r="D166" s="88" t="s">
        <v>1343</v>
      </c>
      <c r="E166" s="88" t="s">
        <v>1344</v>
      </c>
      <c r="F166" s="88" t="s">
        <v>1344</v>
      </c>
    </row>
    <row r="167" spans="2:6">
      <c r="B167" s="86">
        <v>254</v>
      </c>
      <c r="D167" s="88" t="s">
        <v>140</v>
      </c>
      <c r="E167" s="88" t="s">
        <v>686</v>
      </c>
      <c r="F167" s="88" t="s">
        <v>686</v>
      </c>
    </row>
    <row r="168" spans="2:6">
      <c r="B168" s="86">
        <v>255</v>
      </c>
      <c r="C168" s="87" t="s">
        <v>580</v>
      </c>
      <c r="D168" s="88" t="s">
        <v>964</v>
      </c>
      <c r="E168" s="88" t="s">
        <v>966</v>
      </c>
      <c r="F168" s="88" t="s">
        <v>966</v>
      </c>
    </row>
    <row r="169" spans="2:6">
      <c r="B169" s="86">
        <v>256</v>
      </c>
      <c r="D169" s="88" t="s">
        <v>141</v>
      </c>
      <c r="E169" s="88" t="s">
        <v>687</v>
      </c>
      <c r="F169" s="88" t="s">
        <v>687</v>
      </c>
    </row>
    <row r="170" spans="2:6">
      <c r="B170" s="86">
        <v>257</v>
      </c>
      <c r="D170" s="88" t="s">
        <v>443</v>
      </c>
      <c r="E170" s="88" t="s">
        <v>688</v>
      </c>
      <c r="F170" s="88" t="s">
        <v>688</v>
      </c>
    </row>
    <row r="171" spans="2:6">
      <c r="B171" s="86">
        <v>258</v>
      </c>
      <c r="D171" s="88" t="s">
        <v>444</v>
      </c>
      <c r="E171" s="88" t="s">
        <v>689</v>
      </c>
      <c r="F171" s="88" t="s">
        <v>689</v>
      </c>
    </row>
    <row r="172" spans="2:6">
      <c r="B172" s="86">
        <v>259</v>
      </c>
      <c r="D172" s="88" t="s">
        <v>445</v>
      </c>
      <c r="E172" s="88" t="s">
        <v>690</v>
      </c>
      <c r="F172" s="88" t="s">
        <v>690</v>
      </c>
    </row>
    <row r="173" spans="2:6">
      <c r="B173" s="86">
        <v>260</v>
      </c>
      <c r="D173" s="88" t="s">
        <v>1051</v>
      </c>
      <c r="E173" s="88" t="s">
        <v>1029</v>
      </c>
      <c r="F173" s="88" t="s">
        <v>1029</v>
      </c>
    </row>
    <row r="174" spans="2:6">
      <c r="B174" s="86">
        <v>261</v>
      </c>
      <c r="D174" s="88" t="s">
        <v>1053</v>
      </c>
      <c r="E174" s="88" t="s">
        <v>1055</v>
      </c>
      <c r="F174" s="88" t="s">
        <v>1055</v>
      </c>
    </row>
    <row r="175" spans="2:6" ht="24">
      <c r="B175" s="86">
        <v>262</v>
      </c>
      <c r="D175" s="88" t="s">
        <v>1054</v>
      </c>
      <c r="E175" s="88" t="s">
        <v>1056</v>
      </c>
      <c r="F175" s="88" t="s">
        <v>1056</v>
      </c>
    </row>
    <row r="176" spans="2:6" ht="24">
      <c r="B176" s="86">
        <v>263</v>
      </c>
      <c r="D176" s="88" t="s">
        <v>1075</v>
      </c>
      <c r="E176" s="88" t="s">
        <v>1076</v>
      </c>
      <c r="F176" s="88" t="s">
        <v>1076</v>
      </c>
    </row>
    <row r="177" spans="2:6">
      <c r="B177" s="86">
        <v>264</v>
      </c>
      <c r="D177" s="88" t="s">
        <v>1052</v>
      </c>
      <c r="E177" s="88" t="s">
        <v>1018</v>
      </c>
      <c r="F177" s="88" t="s">
        <v>1018</v>
      </c>
    </row>
    <row r="178" spans="2:6">
      <c r="B178" s="86">
        <v>265</v>
      </c>
      <c r="D178" s="88" t="s">
        <v>1057</v>
      </c>
      <c r="E178" s="88" t="s">
        <v>1058</v>
      </c>
      <c r="F178" s="88" t="s">
        <v>1058</v>
      </c>
    </row>
    <row r="179" spans="2:6">
      <c r="B179" s="86">
        <v>266</v>
      </c>
      <c r="D179" s="88" t="s">
        <v>1050</v>
      </c>
      <c r="E179" s="88" t="s">
        <v>1017</v>
      </c>
      <c r="F179" s="88" t="s">
        <v>1017</v>
      </c>
    </row>
    <row r="180" spans="2:6">
      <c r="B180" s="86">
        <v>267</v>
      </c>
      <c r="D180" s="88" t="s">
        <v>142</v>
      </c>
      <c r="E180" s="88" t="s">
        <v>691</v>
      </c>
      <c r="F180" s="88" t="s">
        <v>691</v>
      </c>
    </row>
    <row r="181" spans="2:6">
      <c r="B181" s="86">
        <v>268</v>
      </c>
      <c r="D181" s="88" t="s">
        <v>1211</v>
      </c>
      <c r="E181" s="88" t="s">
        <v>1212</v>
      </c>
      <c r="F181" s="88" t="s">
        <v>1212</v>
      </c>
    </row>
    <row r="182" spans="2:6">
      <c r="B182" s="86">
        <v>269</v>
      </c>
      <c r="D182" s="88" t="s">
        <v>143</v>
      </c>
      <c r="E182" s="88" t="s">
        <v>692</v>
      </c>
      <c r="F182" s="88" t="s">
        <v>692</v>
      </c>
    </row>
    <row r="183" spans="2:6">
      <c r="B183" s="86">
        <v>270</v>
      </c>
      <c r="D183" s="88" t="s">
        <v>446</v>
      </c>
      <c r="E183" s="88" t="s">
        <v>693</v>
      </c>
      <c r="F183" s="88" t="s">
        <v>693</v>
      </c>
    </row>
    <row r="184" spans="2:6" ht="24">
      <c r="B184" s="86">
        <v>271</v>
      </c>
      <c r="D184" s="88" t="s">
        <v>144</v>
      </c>
      <c r="E184" s="88" t="s">
        <v>694</v>
      </c>
      <c r="F184" s="88" t="s">
        <v>694</v>
      </c>
    </row>
    <row r="185" spans="2:6" ht="36">
      <c r="B185" s="86">
        <v>272</v>
      </c>
      <c r="D185" s="88" t="s">
        <v>145</v>
      </c>
      <c r="E185" s="88" t="s">
        <v>695</v>
      </c>
      <c r="F185" s="88" t="s">
        <v>695</v>
      </c>
    </row>
    <row r="186" spans="2:6">
      <c r="B186" s="86">
        <v>273</v>
      </c>
      <c r="D186" s="88" t="s">
        <v>146</v>
      </c>
      <c r="E186" s="88" t="s">
        <v>696</v>
      </c>
      <c r="F186" s="88" t="s">
        <v>696</v>
      </c>
    </row>
    <row r="187" spans="2:6">
      <c r="B187" s="86">
        <v>274</v>
      </c>
      <c r="D187" s="88" t="s">
        <v>147</v>
      </c>
      <c r="E187" s="88" t="s">
        <v>697</v>
      </c>
      <c r="F187" s="88" t="s">
        <v>697</v>
      </c>
    </row>
    <row r="188" spans="2:6">
      <c r="B188" s="86">
        <v>275</v>
      </c>
      <c r="D188" s="88" t="s">
        <v>148</v>
      </c>
      <c r="E188" s="88" t="s">
        <v>698</v>
      </c>
      <c r="F188" s="88" t="s">
        <v>698</v>
      </c>
    </row>
    <row r="189" spans="2:6">
      <c r="B189" s="86">
        <v>276</v>
      </c>
      <c r="D189" s="88" t="s">
        <v>149</v>
      </c>
      <c r="E189" s="88" t="s">
        <v>699</v>
      </c>
      <c r="F189" s="88" t="s">
        <v>699</v>
      </c>
    </row>
    <row r="190" spans="2:6">
      <c r="B190" s="86">
        <v>277</v>
      </c>
      <c r="D190" s="88" t="s">
        <v>150</v>
      </c>
      <c r="E190" s="88" t="s">
        <v>700</v>
      </c>
      <c r="F190" s="88" t="s">
        <v>700</v>
      </c>
    </row>
    <row r="191" spans="2:6">
      <c r="B191" s="86">
        <v>278</v>
      </c>
      <c r="D191" s="88" t="s">
        <v>151</v>
      </c>
      <c r="E191" s="88" t="s">
        <v>701</v>
      </c>
      <c r="F191" s="88" t="s">
        <v>701</v>
      </c>
    </row>
    <row r="192" spans="2:6">
      <c r="B192" s="86">
        <v>279</v>
      </c>
      <c r="D192" s="88" t="s">
        <v>152</v>
      </c>
      <c r="E192" s="88" t="s">
        <v>702</v>
      </c>
      <c r="F192" s="88" t="s">
        <v>702</v>
      </c>
    </row>
    <row r="193" spans="2:6">
      <c r="B193" s="86">
        <v>280</v>
      </c>
      <c r="D193" s="88" t="s">
        <v>153</v>
      </c>
      <c r="E193" s="88" t="s">
        <v>555</v>
      </c>
      <c r="F193" s="88" t="s">
        <v>555</v>
      </c>
    </row>
    <row r="194" spans="2:6">
      <c r="B194" s="86">
        <v>281</v>
      </c>
      <c r="D194" s="88" t="s">
        <v>154</v>
      </c>
      <c r="E194" s="88" t="s">
        <v>703</v>
      </c>
      <c r="F194" s="88" t="s">
        <v>703</v>
      </c>
    </row>
    <row r="195" spans="2:6">
      <c r="B195" s="86">
        <v>282</v>
      </c>
      <c r="D195" s="88" t="s">
        <v>155</v>
      </c>
      <c r="E195" s="88" t="s">
        <v>704</v>
      </c>
      <c r="F195" s="88" t="s">
        <v>704</v>
      </c>
    </row>
    <row r="196" spans="2:6">
      <c r="B196" s="86">
        <v>283</v>
      </c>
      <c r="D196" s="88" t="s">
        <v>156</v>
      </c>
      <c r="E196" s="88" t="s">
        <v>705</v>
      </c>
      <c r="F196" s="88" t="s">
        <v>705</v>
      </c>
    </row>
    <row r="197" spans="2:6" ht="24">
      <c r="B197" s="86">
        <v>284</v>
      </c>
      <c r="D197" s="88" t="s">
        <v>157</v>
      </c>
      <c r="E197" s="88" t="s">
        <v>706</v>
      </c>
      <c r="F197" s="88" t="s">
        <v>706</v>
      </c>
    </row>
    <row r="198" spans="2:6">
      <c r="B198" s="86">
        <v>285</v>
      </c>
      <c r="D198" s="88" t="s">
        <v>447</v>
      </c>
      <c r="E198" s="88" t="s">
        <v>707</v>
      </c>
      <c r="F198" s="88" t="s">
        <v>707</v>
      </c>
    </row>
    <row r="199" spans="2:6">
      <c r="B199" s="86">
        <v>286</v>
      </c>
      <c r="D199" s="88" t="s">
        <v>158</v>
      </c>
      <c r="E199" s="88" t="s">
        <v>708</v>
      </c>
      <c r="F199" s="88" t="s">
        <v>708</v>
      </c>
    </row>
    <row r="200" spans="2:6">
      <c r="B200" s="86">
        <v>287</v>
      </c>
      <c r="D200" s="88" t="s">
        <v>159</v>
      </c>
      <c r="E200" s="88" t="s">
        <v>709</v>
      </c>
      <c r="F200" s="88" t="s">
        <v>709</v>
      </c>
    </row>
    <row r="201" spans="2:6">
      <c r="B201" s="86">
        <v>288</v>
      </c>
      <c r="D201" s="88" t="s">
        <v>160</v>
      </c>
      <c r="E201" s="88" t="s">
        <v>710</v>
      </c>
      <c r="F201" s="88" t="s">
        <v>710</v>
      </c>
    </row>
    <row r="202" spans="2:6">
      <c r="B202" s="86">
        <v>289</v>
      </c>
      <c r="D202" s="88" t="s">
        <v>448</v>
      </c>
      <c r="E202" s="88" t="s">
        <v>711</v>
      </c>
      <c r="F202" s="88" t="s">
        <v>711</v>
      </c>
    </row>
    <row r="203" spans="2:6">
      <c r="B203" s="86">
        <v>290</v>
      </c>
      <c r="D203" s="88" t="s">
        <v>449</v>
      </c>
      <c r="E203" s="88" t="s">
        <v>712</v>
      </c>
      <c r="F203" s="88" t="s">
        <v>712</v>
      </c>
    </row>
    <row r="204" spans="2:6">
      <c r="B204" s="86">
        <v>291</v>
      </c>
      <c r="D204" s="88" t="s">
        <v>1175</v>
      </c>
      <c r="E204" s="88" t="s">
        <v>1183</v>
      </c>
      <c r="F204" s="88" t="s">
        <v>1183</v>
      </c>
    </row>
    <row r="205" spans="2:6">
      <c r="B205" s="86">
        <v>292</v>
      </c>
      <c r="D205" s="88" t="s">
        <v>1261</v>
      </c>
      <c r="E205" s="88" t="s">
        <v>1262</v>
      </c>
      <c r="F205" s="88" t="s">
        <v>1262</v>
      </c>
    </row>
    <row r="206" spans="2:6">
      <c r="B206" s="86">
        <v>293</v>
      </c>
      <c r="D206" s="88" t="s">
        <v>1176</v>
      </c>
      <c r="E206" s="88" t="s">
        <v>1182</v>
      </c>
      <c r="F206" s="88" t="s">
        <v>1182</v>
      </c>
    </row>
    <row r="207" spans="2:6">
      <c r="B207" s="86">
        <v>294</v>
      </c>
      <c r="D207" s="88" t="s">
        <v>1174</v>
      </c>
      <c r="E207" s="88" t="s">
        <v>1181</v>
      </c>
      <c r="F207" s="88" t="s">
        <v>1181</v>
      </c>
    </row>
    <row r="208" spans="2:6">
      <c r="B208" s="86">
        <v>295</v>
      </c>
      <c r="D208" s="88" t="s">
        <v>450</v>
      </c>
      <c r="E208" s="88" t="s">
        <v>713</v>
      </c>
      <c r="F208" s="88" t="s">
        <v>713</v>
      </c>
    </row>
    <row r="209" spans="2:6">
      <c r="B209" s="86">
        <v>296</v>
      </c>
      <c r="D209" s="88" t="s">
        <v>535</v>
      </c>
      <c r="E209" s="88" t="s">
        <v>714</v>
      </c>
      <c r="F209" s="88" t="s">
        <v>714</v>
      </c>
    </row>
    <row r="210" spans="2:6">
      <c r="B210" s="86">
        <v>297</v>
      </c>
      <c r="D210" s="88" t="s">
        <v>161</v>
      </c>
      <c r="E210" s="88" t="s">
        <v>715</v>
      </c>
      <c r="F210" s="88" t="s">
        <v>715</v>
      </c>
    </row>
    <row r="211" spans="2:6">
      <c r="B211" s="86">
        <v>298</v>
      </c>
      <c r="C211" s="87" t="s">
        <v>1079</v>
      </c>
      <c r="D211" s="88" t="s">
        <v>1151</v>
      </c>
      <c r="E211" s="88" t="s">
        <v>1090</v>
      </c>
      <c r="F211" s="88" t="s">
        <v>1090</v>
      </c>
    </row>
    <row r="212" spans="2:6">
      <c r="B212" s="86">
        <v>299</v>
      </c>
      <c r="D212" s="88" t="s">
        <v>1195</v>
      </c>
      <c r="E212" s="88" t="s">
        <v>1198</v>
      </c>
      <c r="F212" s="88" t="s">
        <v>1198</v>
      </c>
    </row>
    <row r="213" spans="2:6">
      <c r="B213" s="86">
        <v>300</v>
      </c>
      <c r="D213" s="88" t="s">
        <v>523</v>
      </c>
      <c r="E213" s="88" t="s">
        <v>949</v>
      </c>
      <c r="F213" s="88" t="s">
        <v>949</v>
      </c>
    </row>
    <row r="214" spans="2:6">
      <c r="B214" s="86">
        <v>301</v>
      </c>
      <c r="D214" s="88" t="s">
        <v>1002</v>
      </c>
      <c r="E214" s="88" t="s">
        <v>1003</v>
      </c>
      <c r="F214" s="88" t="s">
        <v>1003</v>
      </c>
    </row>
    <row r="215" spans="2:6">
      <c r="B215" s="86">
        <v>302</v>
      </c>
      <c r="C215" s="87" t="s">
        <v>1079</v>
      </c>
      <c r="D215" s="199" t="s">
        <v>1368</v>
      </c>
      <c r="E215" s="199" t="s">
        <v>1110</v>
      </c>
      <c r="F215" s="199" t="s">
        <v>1110</v>
      </c>
    </row>
    <row r="216" spans="2:6">
      <c r="B216" s="86">
        <v>303</v>
      </c>
      <c r="C216" s="87" t="s">
        <v>1079</v>
      </c>
      <c r="D216" s="199" t="s">
        <v>1118</v>
      </c>
      <c r="E216" s="199" t="s">
        <v>1080</v>
      </c>
      <c r="F216" s="199" t="s">
        <v>1080</v>
      </c>
    </row>
    <row r="217" spans="2:6">
      <c r="B217" s="86">
        <v>304</v>
      </c>
      <c r="C217" s="87" t="s">
        <v>1079</v>
      </c>
      <c r="D217" s="199" t="s">
        <v>1371</v>
      </c>
      <c r="E217" s="199" t="s">
        <v>1089</v>
      </c>
      <c r="F217" s="199" t="s">
        <v>1089</v>
      </c>
    </row>
    <row r="218" spans="2:6">
      <c r="B218" s="86">
        <v>305</v>
      </c>
      <c r="C218" s="87" t="s">
        <v>1079</v>
      </c>
      <c r="D218" s="199" t="s">
        <v>1161</v>
      </c>
      <c r="E218" s="199" t="s">
        <v>1162</v>
      </c>
      <c r="F218" s="199" t="s">
        <v>1162</v>
      </c>
    </row>
    <row r="219" spans="2:6">
      <c r="B219" s="86">
        <v>305</v>
      </c>
      <c r="C219" s="87" t="s">
        <v>1079</v>
      </c>
      <c r="D219" s="199" t="s">
        <v>1369</v>
      </c>
      <c r="E219" s="199" t="s">
        <v>1370</v>
      </c>
      <c r="F219" s="199" t="s">
        <v>1370</v>
      </c>
    </row>
    <row r="220" spans="2:6">
      <c r="B220" s="86">
        <v>306</v>
      </c>
      <c r="C220" s="87" t="s">
        <v>1079</v>
      </c>
      <c r="D220" s="199" t="s">
        <v>1358</v>
      </c>
      <c r="E220" s="199" t="s">
        <v>1359</v>
      </c>
      <c r="F220" s="199" t="s">
        <v>1359</v>
      </c>
    </row>
    <row r="221" spans="2:6">
      <c r="B221" s="86">
        <v>307</v>
      </c>
      <c r="C221" s="87" t="s">
        <v>1079</v>
      </c>
      <c r="D221" s="199" t="s">
        <v>1360</v>
      </c>
      <c r="E221" s="199" t="s">
        <v>1361</v>
      </c>
      <c r="F221" s="199" t="s">
        <v>1361</v>
      </c>
    </row>
    <row r="222" spans="2:6">
      <c r="B222" s="86">
        <v>308</v>
      </c>
      <c r="C222" s="87" t="s">
        <v>1079</v>
      </c>
      <c r="D222" s="199" t="s">
        <v>1362</v>
      </c>
      <c r="E222" s="199" t="s">
        <v>1363</v>
      </c>
      <c r="F222" s="199" t="s">
        <v>1363</v>
      </c>
    </row>
    <row r="223" spans="2:6">
      <c r="B223" s="86">
        <v>309</v>
      </c>
      <c r="C223" s="87" t="s">
        <v>1079</v>
      </c>
      <c r="D223" s="199" t="s">
        <v>1364</v>
      </c>
      <c r="E223" s="199" t="s">
        <v>1365</v>
      </c>
      <c r="F223" s="199" t="s">
        <v>1365</v>
      </c>
    </row>
    <row r="224" spans="2:6">
      <c r="B224" s="86">
        <v>310</v>
      </c>
      <c r="C224" s="87" t="s">
        <v>1079</v>
      </c>
      <c r="D224" s="199" t="s">
        <v>1366</v>
      </c>
      <c r="E224" s="199" t="s">
        <v>1372</v>
      </c>
      <c r="F224" s="199" t="s">
        <v>1372</v>
      </c>
    </row>
    <row r="225" spans="2:6">
      <c r="B225" s="86">
        <v>311</v>
      </c>
      <c r="C225" s="87" t="s">
        <v>1079</v>
      </c>
      <c r="D225" s="199" t="s">
        <v>1367</v>
      </c>
      <c r="E225" s="199" t="s">
        <v>1373</v>
      </c>
      <c r="F225" s="199" t="s">
        <v>1373</v>
      </c>
    </row>
    <row r="226" spans="2:6">
      <c r="B226" s="86">
        <v>312</v>
      </c>
      <c r="C226" s="87" t="s">
        <v>1079</v>
      </c>
      <c r="D226" s="199" t="s">
        <v>1153</v>
      </c>
      <c r="E226" s="199" t="s">
        <v>1374</v>
      </c>
      <c r="F226" s="199" t="s">
        <v>1374</v>
      </c>
    </row>
    <row r="227" spans="2:6">
      <c r="B227" s="86">
        <v>313</v>
      </c>
      <c r="C227" s="87" t="s">
        <v>1079</v>
      </c>
      <c r="D227" s="199" t="s">
        <v>1154</v>
      </c>
      <c r="E227" s="199" t="s">
        <v>1375</v>
      </c>
      <c r="F227" s="199" t="s">
        <v>1375</v>
      </c>
    </row>
    <row r="228" spans="2:6">
      <c r="B228" s="86">
        <v>314</v>
      </c>
      <c r="C228" s="87" t="s">
        <v>1079</v>
      </c>
      <c r="D228" s="199" t="s">
        <v>1155</v>
      </c>
      <c r="E228" s="88" t="s">
        <v>1111</v>
      </c>
      <c r="F228" s="88" t="s">
        <v>1111</v>
      </c>
    </row>
    <row r="229" spans="2:6">
      <c r="B229" s="86">
        <v>315</v>
      </c>
      <c r="C229" s="87" t="s">
        <v>1079</v>
      </c>
      <c r="D229" s="199" t="s">
        <v>1156</v>
      </c>
      <c r="E229" s="88" t="s">
        <v>1112</v>
      </c>
      <c r="F229" s="88" t="s">
        <v>1112</v>
      </c>
    </row>
    <row r="230" spans="2:6">
      <c r="B230" s="86">
        <v>316</v>
      </c>
      <c r="C230" s="87" t="s">
        <v>1079</v>
      </c>
      <c r="D230" s="199" t="s">
        <v>1157</v>
      </c>
      <c r="E230" s="88" t="s">
        <v>1113</v>
      </c>
      <c r="F230" s="88" t="s">
        <v>1113</v>
      </c>
    </row>
    <row r="231" spans="2:6">
      <c r="B231" s="86">
        <v>317</v>
      </c>
      <c r="C231" s="87" t="s">
        <v>1079</v>
      </c>
      <c r="D231" s="199" t="s">
        <v>1158</v>
      </c>
      <c r="E231" s="88" t="s">
        <v>1114</v>
      </c>
      <c r="F231" s="88" t="s">
        <v>1114</v>
      </c>
    </row>
    <row r="232" spans="2:6">
      <c r="B232" s="86">
        <v>318</v>
      </c>
      <c r="C232" s="87" t="s">
        <v>1079</v>
      </c>
      <c r="D232" s="199" t="s">
        <v>1159</v>
      </c>
      <c r="E232" s="199" t="s">
        <v>1160</v>
      </c>
      <c r="F232" s="199" t="s">
        <v>1160</v>
      </c>
    </row>
    <row r="233" spans="2:6" ht="24">
      <c r="B233" s="86">
        <v>319</v>
      </c>
      <c r="D233" s="88" t="s">
        <v>162</v>
      </c>
      <c r="E233" s="88" t="s">
        <v>716</v>
      </c>
      <c r="F233" s="88" t="s">
        <v>716</v>
      </c>
    </row>
    <row r="234" spans="2:6" ht="24">
      <c r="B234" s="86">
        <v>320</v>
      </c>
      <c r="D234" s="88" t="s">
        <v>163</v>
      </c>
      <c r="E234" s="88" t="s">
        <v>717</v>
      </c>
      <c r="F234" s="88" t="s">
        <v>717</v>
      </c>
    </row>
    <row r="235" spans="2:6" ht="24">
      <c r="B235" s="86">
        <v>321</v>
      </c>
      <c r="D235" s="88" t="s">
        <v>164</v>
      </c>
      <c r="E235" s="88" t="s">
        <v>718</v>
      </c>
      <c r="F235" s="88" t="s">
        <v>718</v>
      </c>
    </row>
    <row r="236" spans="2:6" ht="24">
      <c r="B236" s="86">
        <v>322</v>
      </c>
      <c r="C236" s="87" t="s">
        <v>1079</v>
      </c>
      <c r="D236" s="88" t="s">
        <v>1152</v>
      </c>
      <c r="E236" s="88" t="s">
        <v>1099</v>
      </c>
      <c r="F236" s="88" t="s">
        <v>1099</v>
      </c>
    </row>
    <row r="237" spans="2:6">
      <c r="B237" s="86">
        <v>323</v>
      </c>
      <c r="D237" s="88" t="s">
        <v>165</v>
      </c>
      <c r="E237" s="88" t="s">
        <v>719</v>
      </c>
      <c r="F237" s="88" t="s">
        <v>719</v>
      </c>
    </row>
    <row r="238" spans="2:6">
      <c r="B238" s="86">
        <v>324</v>
      </c>
      <c r="C238" s="87" t="s">
        <v>580</v>
      </c>
      <c r="D238" s="88" t="s">
        <v>973</v>
      </c>
      <c r="E238" s="88" t="s">
        <v>974</v>
      </c>
      <c r="F238" s="88" t="s">
        <v>974</v>
      </c>
    </row>
    <row r="239" spans="2:6">
      <c r="B239" s="86">
        <v>325</v>
      </c>
      <c r="D239" s="88" t="s">
        <v>166</v>
      </c>
      <c r="E239" s="88" t="s">
        <v>720</v>
      </c>
      <c r="F239" s="88" t="s">
        <v>720</v>
      </c>
    </row>
    <row r="240" spans="2:6">
      <c r="B240" s="86">
        <v>326</v>
      </c>
      <c r="D240" s="88" t="s">
        <v>167</v>
      </c>
      <c r="E240" s="88" t="s">
        <v>721</v>
      </c>
      <c r="F240" s="88" t="s">
        <v>721</v>
      </c>
    </row>
    <row r="241" spans="2:6">
      <c r="B241" s="86">
        <v>327</v>
      </c>
      <c r="D241" s="88" t="s">
        <v>168</v>
      </c>
      <c r="E241" s="88" t="s">
        <v>722</v>
      </c>
      <c r="F241" s="88" t="s">
        <v>722</v>
      </c>
    </row>
    <row r="242" spans="2:6">
      <c r="B242" s="86">
        <v>328</v>
      </c>
      <c r="C242" s="87" t="s">
        <v>580</v>
      </c>
      <c r="D242" s="85" t="s">
        <v>955</v>
      </c>
      <c r="E242" s="199" t="s">
        <v>956</v>
      </c>
      <c r="F242" s="199" t="s">
        <v>956</v>
      </c>
    </row>
    <row r="243" spans="2:6">
      <c r="B243" s="86">
        <v>329</v>
      </c>
      <c r="C243" s="87" t="s">
        <v>580</v>
      </c>
      <c r="D243" s="85" t="s">
        <v>957</v>
      </c>
      <c r="E243" s="199" t="s">
        <v>958</v>
      </c>
      <c r="F243" s="199" t="s">
        <v>958</v>
      </c>
    </row>
    <row r="244" spans="2:6">
      <c r="B244" s="86">
        <v>330</v>
      </c>
      <c r="D244" s="88" t="s">
        <v>169</v>
      </c>
      <c r="E244" s="88" t="s">
        <v>723</v>
      </c>
      <c r="F244" s="88" t="s">
        <v>723</v>
      </c>
    </row>
    <row r="245" spans="2:6">
      <c r="B245" s="86">
        <v>331</v>
      </c>
      <c r="C245" s="87" t="s">
        <v>580</v>
      </c>
      <c r="D245" s="88" t="s">
        <v>970</v>
      </c>
      <c r="E245" s="88" t="s">
        <v>1008</v>
      </c>
      <c r="F245" s="88" t="s">
        <v>1008</v>
      </c>
    </row>
    <row r="246" spans="2:6">
      <c r="B246" s="86">
        <v>332</v>
      </c>
      <c r="C246" s="87" t="s">
        <v>580</v>
      </c>
      <c r="D246" s="85" t="s">
        <v>975</v>
      </c>
      <c r="E246" s="199" t="s">
        <v>976</v>
      </c>
      <c r="F246" s="199" t="s">
        <v>976</v>
      </c>
    </row>
    <row r="247" spans="2:6" ht="24">
      <c r="B247" s="86">
        <v>333</v>
      </c>
      <c r="D247" s="88" t="s">
        <v>170</v>
      </c>
      <c r="E247" s="88" t="s">
        <v>724</v>
      </c>
      <c r="F247" s="88" t="s">
        <v>724</v>
      </c>
    </row>
    <row r="248" spans="2:6" ht="24">
      <c r="B248" s="86">
        <v>334</v>
      </c>
      <c r="D248" s="88" t="s">
        <v>171</v>
      </c>
      <c r="E248" s="88" t="s">
        <v>725</v>
      </c>
      <c r="F248" s="88" t="s">
        <v>725</v>
      </c>
    </row>
    <row r="249" spans="2:6">
      <c r="B249" s="86">
        <v>335</v>
      </c>
      <c r="D249" s="88" t="s">
        <v>172</v>
      </c>
      <c r="E249" s="88" t="s">
        <v>726</v>
      </c>
      <c r="F249" s="88" t="s">
        <v>726</v>
      </c>
    </row>
    <row r="250" spans="2:6">
      <c r="B250" s="86">
        <v>336</v>
      </c>
      <c r="D250" s="88" t="s">
        <v>173</v>
      </c>
      <c r="E250" s="88" t="s">
        <v>727</v>
      </c>
      <c r="F250" s="88" t="s">
        <v>727</v>
      </c>
    </row>
    <row r="251" spans="2:6">
      <c r="B251" s="86">
        <v>337</v>
      </c>
      <c r="D251" s="88" t="s">
        <v>174</v>
      </c>
      <c r="E251" s="88" t="s">
        <v>728</v>
      </c>
      <c r="F251" s="88" t="s">
        <v>728</v>
      </c>
    </row>
    <row r="252" spans="2:6">
      <c r="B252" s="86">
        <v>338</v>
      </c>
      <c r="D252" s="88" t="s">
        <v>175</v>
      </c>
      <c r="E252" s="88" t="s">
        <v>729</v>
      </c>
      <c r="F252" s="88" t="s">
        <v>729</v>
      </c>
    </row>
    <row r="253" spans="2:6">
      <c r="B253" s="86">
        <v>339</v>
      </c>
      <c r="C253" s="87" t="s">
        <v>1079</v>
      </c>
      <c r="D253" s="88" t="s">
        <v>1133</v>
      </c>
      <c r="E253" s="88" t="s">
        <v>1097</v>
      </c>
      <c r="F253" s="88" t="s">
        <v>1097</v>
      </c>
    </row>
    <row r="254" spans="2:6">
      <c r="B254" s="86">
        <v>340</v>
      </c>
      <c r="C254" s="87" t="s">
        <v>1079</v>
      </c>
      <c r="D254" s="88" t="s">
        <v>1135</v>
      </c>
      <c r="E254" s="88" t="s">
        <v>1098</v>
      </c>
      <c r="F254" s="88" t="s">
        <v>1098</v>
      </c>
    </row>
    <row r="255" spans="2:6">
      <c r="B255" s="86">
        <v>341</v>
      </c>
      <c r="D255" s="88" t="s">
        <v>176</v>
      </c>
      <c r="E255" s="88" t="s">
        <v>730</v>
      </c>
      <c r="F255" s="88" t="s">
        <v>730</v>
      </c>
    </row>
    <row r="256" spans="2:6" ht="24">
      <c r="B256" s="86">
        <v>342</v>
      </c>
      <c r="C256" s="87" t="s">
        <v>1079</v>
      </c>
      <c r="D256" s="88" t="s">
        <v>1145</v>
      </c>
      <c r="E256" s="88" t="s">
        <v>1106</v>
      </c>
      <c r="F256" s="88" t="s">
        <v>1106</v>
      </c>
    </row>
    <row r="257" spans="2:6">
      <c r="B257" s="86">
        <v>343</v>
      </c>
      <c r="D257" s="88" t="s">
        <v>451</v>
      </c>
      <c r="E257" s="88" t="s">
        <v>731</v>
      </c>
      <c r="F257" s="88" t="s">
        <v>731</v>
      </c>
    </row>
    <row r="258" spans="2:6">
      <c r="B258" s="86">
        <v>344</v>
      </c>
      <c r="D258" s="88" t="s">
        <v>177</v>
      </c>
      <c r="E258" s="88" t="s">
        <v>732</v>
      </c>
      <c r="F258" s="88" t="s">
        <v>732</v>
      </c>
    </row>
    <row r="259" spans="2:6">
      <c r="B259" s="86">
        <v>345</v>
      </c>
      <c r="D259" s="88" t="s">
        <v>452</v>
      </c>
      <c r="E259" s="88" t="s">
        <v>733</v>
      </c>
      <c r="F259" s="88" t="s">
        <v>733</v>
      </c>
    </row>
    <row r="260" spans="2:6">
      <c r="B260" s="86">
        <v>346</v>
      </c>
      <c r="C260" s="87" t="s">
        <v>1079</v>
      </c>
      <c r="D260" s="88" t="s">
        <v>1134</v>
      </c>
      <c r="E260" s="88" t="s">
        <v>1108</v>
      </c>
      <c r="F260" s="88" t="s">
        <v>1108</v>
      </c>
    </row>
    <row r="261" spans="2:6">
      <c r="B261" s="86">
        <v>347</v>
      </c>
      <c r="C261" s="87" t="s">
        <v>580</v>
      </c>
      <c r="D261" s="85" t="s">
        <v>953</v>
      </c>
      <c r="E261" s="199" t="s">
        <v>954</v>
      </c>
      <c r="F261" s="199" t="s">
        <v>954</v>
      </c>
    </row>
    <row r="262" spans="2:6" ht="24">
      <c r="B262" s="86">
        <v>348</v>
      </c>
      <c r="C262" s="87" t="s">
        <v>1079</v>
      </c>
      <c r="D262" s="88" t="s">
        <v>1126</v>
      </c>
      <c r="E262" s="88" t="s">
        <v>1087</v>
      </c>
      <c r="F262" s="88" t="s">
        <v>1087</v>
      </c>
    </row>
    <row r="263" spans="2:6" ht="24">
      <c r="B263" s="86">
        <v>349</v>
      </c>
      <c r="D263" s="88" t="s">
        <v>178</v>
      </c>
      <c r="F263" s="88"/>
    </row>
    <row r="264" spans="2:6">
      <c r="B264" s="86">
        <v>350</v>
      </c>
      <c r="D264" s="88" t="s">
        <v>179</v>
      </c>
      <c r="E264" s="88" t="s">
        <v>734</v>
      </c>
      <c r="F264" s="88" t="s">
        <v>734</v>
      </c>
    </row>
    <row r="265" spans="2:6">
      <c r="B265" s="86">
        <v>351</v>
      </c>
      <c r="D265" s="88" t="s">
        <v>180</v>
      </c>
      <c r="E265" s="88" t="s">
        <v>735</v>
      </c>
      <c r="F265" s="88" t="s">
        <v>735</v>
      </c>
    </row>
    <row r="266" spans="2:6">
      <c r="B266" s="86">
        <v>352</v>
      </c>
      <c r="D266" s="88" t="s">
        <v>181</v>
      </c>
      <c r="E266" s="88" t="s">
        <v>736</v>
      </c>
      <c r="F266" s="88" t="s">
        <v>736</v>
      </c>
    </row>
    <row r="267" spans="2:6">
      <c r="B267" s="86">
        <v>353</v>
      </c>
      <c r="C267" s="87" t="s">
        <v>1079</v>
      </c>
      <c r="D267" s="88" t="s">
        <v>1129</v>
      </c>
      <c r="E267" s="88" t="s">
        <v>1093</v>
      </c>
      <c r="F267" s="88" t="s">
        <v>1093</v>
      </c>
    </row>
    <row r="268" spans="2:6">
      <c r="B268" s="86">
        <v>354</v>
      </c>
      <c r="D268" s="88" t="s">
        <v>182</v>
      </c>
      <c r="E268" s="88" t="s">
        <v>737</v>
      </c>
      <c r="F268" s="88" t="s">
        <v>737</v>
      </c>
    </row>
    <row r="269" spans="2:6">
      <c r="B269" s="86">
        <v>355</v>
      </c>
      <c r="D269" s="88" t="s">
        <v>453</v>
      </c>
      <c r="E269" s="88" t="s">
        <v>738</v>
      </c>
      <c r="F269" s="88" t="s">
        <v>738</v>
      </c>
    </row>
    <row r="270" spans="2:6">
      <c r="B270" s="86">
        <v>356</v>
      </c>
      <c r="D270" s="88" t="s">
        <v>183</v>
      </c>
      <c r="E270" s="88" t="s">
        <v>739</v>
      </c>
      <c r="F270" s="88" t="s">
        <v>739</v>
      </c>
    </row>
    <row r="271" spans="2:6" ht="24">
      <c r="B271" s="86">
        <v>357</v>
      </c>
      <c r="C271" s="87" t="s">
        <v>1079</v>
      </c>
      <c r="D271" s="88" t="s">
        <v>1125</v>
      </c>
      <c r="E271" s="88" t="s">
        <v>1124</v>
      </c>
      <c r="F271" s="88" t="s">
        <v>1124</v>
      </c>
    </row>
    <row r="272" spans="2:6" ht="36">
      <c r="B272" s="86">
        <v>358</v>
      </c>
      <c r="C272" s="87" t="s">
        <v>1079</v>
      </c>
      <c r="D272" s="88" t="s">
        <v>1142</v>
      </c>
      <c r="E272" s="88" t="s">
        <v>1102</v>
      </c>
      <c r="F272" s="88" t="s">
        <v>1102</v>
      </c>
    </row>
    <row r="273" spans="2:6">
      <c r="B273" s="86">
        <v>359</v>
      </c>
      <c r="D273" s="88" t="s">
        <v>184</v>
      </c>
      <c r="E273" s="88" t="s">
        <v>740</v>
      </c>
      <c r="F273" s="88" t="s">
        <v>740</v>
      </c>
    </row>
    <row r="274" spans="2:6">
      <c r="B274" s="86">
        <v>360</v>
      </c>
      <c r="D274" s="88" t="s">
        <v>1</v>
      </c>
      <c r="E274" s="88" t="s">
        <v>1</v>
      </c>
      <c r="F274" s="88" t="s">
        <v>1</v>
      </c>
    </row>
    <row r="275" spans="2:6">
      <c r="B275" s="86">
        <v>361</v>
      </c>
      <c r="D275" s="88" t="s">
        <v>2</v>
      </c>
      <c r="E275" s="88" t="s">
        <v>2</v>
      </c>
      <c r="F275" s="88" t="s">
        <v>2</v>
      </c>
    </row>
    <row r="276" spans="2:6">
      <c r="B276" s="86">
        <v>362</v>
      </c>
      <c r="D276" s="88" t="s">
        <v>540</v>
      </c>
      <c r="E276" s="88" t="s">
        <v>544</v>
      </c>
      <c r="F276" s="88" t="s">
        <v>544</v>
      </c>
    </row>
    <row r="277" spans="2:6">
      <c r="B277" s="86">
        <v>363</v>
      </c>
      <c r="D277" s="88" t="s">
        <v>185</v>
      </c>
      <c r="E277" s="88" t="s">
        <v>186</v>
      </c>
      <c r="F277" s="88" t="s">
        <v>186</v>
      </c>
    </row>
    <row r="278" spans="2:6">
      <c r="B278" s="86">
        <v>364</v>
      </c>
      <c r="D278" s="88" t="s">
        <v>1213</v>
      </c>
      <c r="E278" s="88" t="s">
        <v>1214</v>
      </c>
      <c r="F278" s="88" t="s">
        <v>1214</v>
      </c>
    </row>
    <row r="279" spans="2:6">
      <c r="B279" s="86">
        <v>365</v>
      </c>
      <c r="D279" s="88" t="s">
        <v>187</v>
      </c>
      <c r="E279" s="88" t="s">
        <v>511</v>
      </c>
      <c r="F279" s="88" t="s">
        <v>511</v>
      </c>
    </row>
    <row r="280" spans="2:6">
      <c r="B280" s="86">
        <v>366</v>
      </c>
      <c r="D280" s="88" t="s">
        <v>188</v>
      </c>
      <c r="E280" s="88" t="s">
        <v>741</v>
      </c>
      <c r="F280" s="88" t="s">
        <v>741</v>
      </c>
    </row>
    <row r="281" spans="2:6">
      <c r="B281" s="86">
        <v>367</v>
      </c>
      <c r="D281" s="88" t="s">
        <v>189</v>
      </c>
      <c r="E281" s="88" t="s">
        <v>742</v>
      </c>
      <c r="F281" s="88" t="s">
        <v>742</v>
      </c>
    </row>
    <row r="282" spans="2:6">
      <c r="B282" s="86">
        <v>368</v>
      </c>
      <c r="D282" s="88" t="s">
        <v>454</v>
      </c>
      <c r="E282" s="88" t="s">
        <v>743</v>
      </c>
      <c r="F282" s="88" t="s">
        <v>743</v>
      </c>
    </row>
    <row r="283" spans="2:6">
      <c r="B283" s="86">
        <v>369</v>
      </c>
      <c r="D283" s="88" t="s">
        <v>455</v>
      </c>
      <c r="E283" s="88" t="s">
        <v>744</v>
      </c>
      <c r="F283" s="88" t="s">
        <v>744</v>
      </c>
    </row>
    <row r="284" spans="2:6">
      <c r="B284" s="86">
        <v>370</v>
      </c>
      <c r="D284" s="88" t="s">
        <v>456</v>
      </c>
      <c r="E284" s="88" t="s">
        <v>743</v>
      </c>
      <c r="F284" s="88" t="s">
        <v>743</v>
      </c>
    </row>
    <row r="285" spans="2:6">
      <c r="B285" s="86">
        <v>371</v>
      </c>
      <c r="C285" s="87" t="s">
        <v>1079</v>
      </c>
      <c r="D285" s="88" t="s">
        <v>1116</v>
      </c>
      <c r="E285" s="88" t="s">
        <v>1096</v>
      </c>
      <c r="F285" s="88" t="s">
        <v>1096</v>
      </c>
    </row>
    <row r="286" spans="2:6">
      <c r="B286" s="86">
        <v>372</v>
      </c>
      <c r="D286" s="88" t="s">
        <v>190</v>
      </c>
      <c r="E286" s="88" t="s">
        <v>745</v>
      </c>
      <c r="F286" s="88" t="s">
        <v>745</v>
      </c>
    </row>
    <row r="287" spans="2:6">
      <c r="B287" s="86">
        <v>373</v>
      </c>
      <c r="D287" s="88" t="s">
        <v>457</v>
      </c>
      <c r="E287" s="88" t="s">
        <v>746</v>
      </c>
      <c r="F287" s="88" t="s">
        <v>746</v>
      </c>
    </row>
    <row r="288" spans="2:6">
      <c r="B288" s="86">
        <v>374</v>
      </c>
      <c r="D288" s="88" t="s">
        <v>191</v>
      </c>
      <c r="E288" s="88" t="s">
        <v>747</v>
      </c>
      <c r="F288" s="88" t="s">
        <v>747</v>
      </c>
    </row>
    <row r="289" spans="2:6">
      <c r="B289" s="86">
        <v>375</v>
      </c>
      <c r="C289" s="87" t="s">
        <v>580</v>
      </c>
      <c r="D289" s="85" t="s">
        <v>977</v>
      </c>
      <c r="E289" s="199" t="s">
        <v>978</v>
      </c>
      <c r="F289" s="199" t="s">
        <v>978</v>
      </c>
    </row>
    <row r="290" spans="2:6">
      <c r="B290" s="86">
        <v>376</v>
      </c>
      <c r="D290" s="88" t="s">
        <v>486</v>
      </c>
      <c r="E290" s="88" t="s">
        <v>748</v>
      </c>
      <c r="F290" s="88" t="s">
        <v>748</v>
      </c>
    </row>
    <row r="291" spans="2:6">
      <c r="B291" s="86">
        <v>377</v>
      </c>
      <c r="D291" s="88" t="s">
        <v>487</v>
      </c>
      <c r="E291" s="88" t="s">
        <v>749</v>
      </c>
      <c r="F291" s="88" t="s">
        <v>749</v>
      </c>
    </row>
    <row r="292" spans="2:6">
      <c r="B292" s="86">
        <v>378</v>
      </c>
      <c r="C292" s="87" t="s">
        <v>989</v>
      </c>
      <c r="D292" s="88" t="s">
        <v>990</v>
      </c>
      <c r="E292" s="88" t="s">
        <v>991</v>
      </c>
      <c r="F292" s="88" t="s">
        <v>991</v>
      </c>
    </row>
    <row r="293" spans="2:6">
      <c r="B293" s="86">
        <v>379</v>
      </c>
      <c r="D293" s="88" t="s">
        <v>192</v>
      </c>
      <c r="E293" s="88" t="s">
        <v>750</v>
      </c>
      <c r="F293" s="88" t="s">
        <v>750</v>
      </c>
    </row>
    <row r="294" spans="2:6">
      <c r="B294" s="86">
        <v>380</v>
      </c>
      <c r="D294" s="88" t="s">
        <v>458</v>
      </c>
      <c r="E294" s="88" t="s">
        <v>751</v>
      </c>
      <c r="F294" s="88" t="s">
        <v>751</v>
      </c>
    </row>
    <row r="295" spans="2:6">
      <c r="B295" s="86">
        <v>381</v>
      </c>
      <c r="D295" s="88" t="s">
        <v>193</v>
      </c>
      <c r="E295" s="88" t="s">
        <v>752</v>
      </c>
      <c r="F295" s="88" t="s">
        <v>752</v>
      </c>
    </row>
    <row r="296" spans="2:6">
      <c r="B296" s="86">
        <v>382</v>
      </c>
      <c r="D296" s="88" t="s">
        <v>194</v>
      </c>
      <c r="E296" s="88" t="s">
        <v>753</v>
      </c>
      <c r="F296" s="88" t="s">
        <v>753</v>
      </c>
    </row>
    <row r="297" spans="2:6">
      <c r="B297" s="86">
        <v>383</v>
      </c>
      <c r="D297" s="88" t="s">
        <v>195</v>
      </c>
      <c r="E297" s="88" t="s">
        <v>526</v>
      </c>
      <c r="F297" s="88" t="s">
        <v>526</v>
      </c>
    </row>
    <row r="298" spans="2:6">
      <c r="B298" s="86">
        <v>384</v>
      </c>
      <c r="D298" s="88" t="s">
        <v>967</v>
      </c>
      <c r="E298" s="88" t="s">
        <v>968</v>
      </c>
      <c r="F298" s="88" t="s">
        <v>968</v>
      </c>
    </row>
    <row r="299" spans="2:6" ht="24">
      <c r="B299" s="86">
        <v>385</v>
      </c>
      <c r="D299" s="88" t="s">
        <v>196</v>
      </c>
      <c r="E299" s="88" t="s">
        <v>754</v>
      </c>
      <c r="F299" s="88" t="s">
        <v>754</v>
      </c>
    </row>
    <row r="300" spans="2:6">
      <c r="B300" s="86">
        <v>386</v>
      </c>
      <c r="D300" s="88" t="s">
        <v>1256</v>
      </c>
      <c r="E300" s="88" t="s">
        <v>1339</v>
      </c>
      <c r="F300" s="88" t="s">
        <v>1339</v>
      </c>
    </row>
    <row r="301" spans="2:6" ht="24">
      <c r="B301" s="86">
        <v>387</v>
      </c>
      <c r="D301" s="88" t="s">
        <v>488</v>
      </c>
      <c r="E301" s="88" t="s">
        <v>755</v>
      </c>
      <c r="F301" s="88" t="s">
        <v>755</v>
      </c>
    </row>
    <row r="302" spans="2:6">
      <c r="B302" s="86">
        <v>388</v>
      </c>
      <c r="D302" s="88" t="s">
        <v>489</v>
      </c>
      <c r="E302" s="88" t="s">
        <v>756</v>
      </c>
      <c r="F302" s="88" t="s">
        <v>756</v>
      </c>
    </row>
    <row r="303" spans="2:6">
      <c r="B303" s="86">
        <v>389</v>
      </c>
      <c r="D303" s="88" t="s">
        <v>459</v>
      </c>
      <c r="E303" s="88" t="s">
        <v>757</v>
      </c>
      <c r="F303" s="88" t="s">
        <v>757</v>
      </c>
    </row>
    <row r="304" spans="2:6">
      <c r="B304" s="86">
        <v>390</v>
      </c>
      <c r="D304" s="88" t="s">
        <v>197</v>
      </c>
      <c r="E304" s="88" t="s">
        <v>758</v>
      </c>
      <c r="F304" s="88" t="s">
        <v>758</v>
      </c>
    </row>
    <row r="305" spans="2:6">
      <c r="B305" s="86">
        <v>391</v>
      </c>
      <c r="D305" s="88" t="s">
        <v>460</v>
      </c>
      <c r="E305" s="88" t="s">
        <v>759</v>
      </c>
      <c r="F305" s="88" t="s">
        <v>759</v>
      </c>
    </row>
    <row r="306" spans="2:6">
      <c r="B306" s="86">
        <v>392</v>
      </c>
      <c r="D306" s="88" t="s">
        <v>461</v>
      </c>
      <c r="E306" s="88" t="s">
        <v>760</v>
      </c>
      <c r="F306" s="88" t="s">
        <v>760</v>
      </c>
    </row>
    <row r="307" spans="2:6">
      <c r="B307" s="86">
        <v>393</v>
      </c>
      <c r="D307" s="88" t="s">
        <v>198</v>
      </c>
      <c r="E307" s="88" t="s">
        <v>761</v>
      </c>
      <c r="F307" s="88" t="s">
        <v>761</v>
      </c>
    </row>
    <row r="308" spans="2:6">
      <c r="B308" s="86">
        <v>394</v>
      </c>
      <c r="D308" s="88" t="s">
        <v>199</v>
      </c>
      <c r="E308" s="88" t="s">
        <v>762</v>
      </c>
      <c r="F308" s="88" t="s">
        <v>762</v>
      </c>
    </row>
    <row r="309" spans="2:6">
      <c r="B309" s="86">
        <v>395</v>
      </c>
      <c r="D309" s="88" t="s">
        <v>462</v>
      </c>
      <c r="E309" s="88" t="s">
        <v>763</v>
      </c>
      <c r="F309" s="88" t="s">
        <v>763</v>
      </c>
    </row>
    <row r="310" spans="2:6">
      <c r="B310" s="86">
        <v>396</v>
      </c>
      <c r="D310" s="88" t="s">
        <v>200</v>
      </c>
      <c r="E310" s="88" t="s">
        <v>764</v>
      </c>
      <c r="F310" s="88" t="s">
        <v>764</v>
      </c>
    </row>
    <row r="311" spans="2:6">
      <c r="B311" s="86">
        <v>397</v>
      </c>
      <c r="C311" s="87" t="s">
        <v>503</v>
      </c>
      <c r="D311" s="88" t="s">
        <v>512</v>
      </c>
      <c r="E311" s="88" t="s">
        <v>513</v>
      </c>
      <c r="F311" s="88" t="s">
        <v>513</v>
      </c>
    </row>
    <row r="312" spans="2:6">
      <c r="B312" s="86">
        <v>398</v>
      </c>
      <c r="C312" s="87" t="s">
        <v>580</v>
      </c>
      <c r="D312" s="85" t="s">
        <v>579</v>
      </c>
      <c r="E312" s="199" t="s">
        <v>952</v>
      </c>
      <c r="F312" s="199" t="s">
        <v>952</v>
      </c>
    </row>
    <row r="313" spans="2:6">
      <c r="B313" s="86">
        <v>399</v>
      </c>
      <c r="D313" s="88" t="s">
        <v>201</v>
      </c>
      <c r="E313" s="88" t="s">
        <v>765</v>
      </c>
      <c r="F313" s="88" t="s">
        <v>765</v>
      </c>
    </row>
    <row r="314" spans="2:6">
      <c r="B314" s="86">
        <v>400</v>
      </c>
      <c r="D314" s="88" t="s">
        <v>202</v>
      </c>
      <c r="E314" s="88" t="s">
        <v>766</v>
      </c>
      <c r="F314" s="88" t="s">
        <v>766</v>
      </c>
    </row>
    <row r="315" spans="2:6">
      <c r="B315" s="86">
        <v>401</v>
      </c>
      <c r="D315" s="88" t="s">
        <v>203</v>
      </c>
      <c r="E315" s="88" t="s">
        <v>767</v>
      </c>
      <c r="F315" s="88" t="s">
        <v>767</v>
      </c>
    </row>
    <row r="316" spans="2:6">
      <c r="B316" s="86">
        <v>402</v>
      </c>
      <c r="D316" s="88" t="s">
        <v>204</v>
      </c>
      <c r="E316" s="88" t="s">
        <v>768</v>
      </c>
      <c r="F316" s="88" t="s">
        <v>768</v>
      </c>
    </row>
    <row r="317" spans="2:6">
      <c r="B317" s="86">
        <v>403</v>
      </c>
      <c r="C317" s="87" t="s">
        <v>580</v>
      </c>
      <c r="D317" s="85" t="s">
        <v>576</v>
      </c>
      <c r="E317" s="199" t="s">
        <v>567</v>
      </c>
      <c r="F317" s="199" t="s">
        <v>567</v>
      </c>
    </row>
    <row r="318" spans="2:6">
      <c r="B318" s="86">
        <v>404</v>
      </c>
      <c r="D318" s="88" t="s">
        <v>205</v>
      </c>
      <c r="E318" s="88" t="s">
        <v>769</v>
      </c>
      <c r="F318" s="88" t="s">
        <v>769</v>
      </c>
    </row>
    <row r="319" spans="2:6">
      <c r="B319" s="86">
        <v>405</v>
      </c>
      <c r="C319" s="87" t="s">
        <v>580</v>
      </c>
      <c r="D319" s="88" t="s">
        <v>574</v>
      </c>
      <c r="E319" s="199" t="s">
        <v>565</v>
      </c>
      <c r="F319" s="199" t="s">
        <v>565</v>
      </c>
    </row>
    <row r="320" spans="2:6">
      <c r="B320" s="86">
        <v>406</v>
      </c>
      <c r="D320" s="88" t="s">
        <v>206</v>
      </c>
      <c r="E320" s="88" t="s">
        <v>770</v>
      </c>
      <c r="F320" s="88" t="s">
        <v>770</v>
      </c>
    </row>
    <row r="321" spans="1:6" ht="36">
      <c r="B321" s="86">
        <v>407</v>
      </c>
      <c r="D321" s="88" t="s">
        <v>207</v>
      </c>
      <c r="E321" s="88" t="s">
        <v>771</v>
      </c>
      <c r="F321" s="88" t="s">
        <v>771</v>
      </c>
    </row>
    <row r="322" spans="1:6">
      <c r="B322" s="86">
        <v>408</v>
      </c>
      <c r="D322" s="88" t="s">
        <v>208</v>
      </c>
      <c r="E322" s="88" t="s">
        <v>772</v>
      </c>
      <c r="F322" s="88" t="s">
        <v>772</v>
      </c>
    </row>
    <row r="323" spans="1:6">
      <c r="B323" s="86">
        <v>409</v>
      </c>
      <c r="D323" s="88" t="s">
        <v>1027</v>
      </c>
      <c r="E323" s="88" t="s">
        <v>1028</v>
      </c>
      <c r="F323" s="88" t="s">
        <v>1028</v>
      </c>
    </row>
    <row r="324" spans="1:6" ht="24">
      <c r="B324" s="86">
        <v>410</v>
      </c>
      <c r="D324" s="88" t="s">
        <v>209</v>
      </c>
      <c r="E324" s="88" t="s">
        <v>773</v>
      </c>
      <c r="F324" s="88" t="s">
        <v>773</v>
      </c>
    </row>
    <row r="325" spans="1:6">
      <c r="B325" s="86">
        <v>411</v>
      </c>
      <c r="D325" s="88" t="s">
        <v>1035</v>
      </c>
      <c r="E325" s="88" t="s">
        <v>1036</v>
      </c>
      <c r="F325" s="88" t="s">
        <v>1036</v>
      </c>
    </row>
    <row r="326" spans="1:6">
      <c r="B326" s="86">
        <v>412</v>
      </c>
      <c r="D326" s="88" t="s">
        <v>1025</v>
      </c>
      <c r="E326" s="88" t="s">
        <v>1026</v>
      </c>
      <c r="F326" s="88" t="s">
        <v>1026</v>
      </c>
    </row>
    <row r="327" spans="1:6">
      <c r="A327" s="196"/>
      <c r="B327" s="86">
        <v>413</v>
      </c>
      <c r="C327" s="197" t="s">
        <v>485</v>
      </c>
      <c r="D327" s="195" t="s">
        <v>514</v>
      </c>
      <c r="E327" s="195" t="s">
        <v>529</v>
      </c>
      <c r="F327" s="195" t="s">
        <v>529</v>
      </c>
    </row>
    <row r="328" spans="1:6">
      <c r="A328" s="196"/>
      <c r="B328" s="86">
        <v>414</v>
      </c>
      <c r="C328" s="197" t="s">
        <v>485</v>
      </c>
      <c r="D328" s="195" t="s">
        <v>515</v>
      </c>
      <c r="E328" s="195" t="s">
        <v>774</v>
      </c>
      <c r="F328" s="195" t="s">
        <v>774</v>
      </c>
    </row>
    <row r="329" spans="1:6">
      <c r="A329" s="196"/>
      <c r="B329" s="86">
        <v>415</v>
      </c>
      <c r="C329" s="197" t="s">
        <v>485</v>
      </c>
      <c r="D329" s="195" t="s">
        <v>516</v>
      </c>
      <c r="E329" s="195" t="s">
        <v>775</v>
      </c>
      <c r="F329" s="195" t="s">
        <v>775</v>
      </c>
    </row>
    <row r="330" spans="1:6">
      <c r="B330" s="86">
        <v>416</v>
      </c>
      <c r="D330" s="88" t="s">
        <v>210</v>
      </c>
      <c r="E330" s="88" t="s">
        <v>529</v>
      </c>
      <c r="F330" s="88" t="s">
        <v>529</v>
      </c>
    </row>
    <row r="331" spans="1:6">
      <c r="B331" s="86">
        <v>417</v>
      </c>
      <c r="D331" s="88" t="s">
        <v>211</v>
      </c>
      <c r="E331" s="195" t="s">
        <v>776</v>
      </c>
      <c r="F331" s="195" t="s">
        <v>776</v>
      </c>
    </row>
    <row r="332" spans="1:6">
      <c r="B332" s="86">
        <v>418</v>
      </c>
      <c r="D332" s="88" t="s">
        <v>212</v>
      </c>
      <c r="E332" s="88" t="s">
        <v>777</v>
      </c>
      <c r="F332" s="88" t="s">
        <v>777</v>
      </c>
    </row>
    <row r="333" spans="1:6">
      <c r="B333" s="86">
        <v>419</v>
      </c>
      <c r="D333" s="88" t="s">
        <v>213</v>
      </c>
      <c r="E333" s="88" t="s">
        <v>778</v>
      </c>
      <c r="F333" s="88" t="s">
        <v>778</v>
      </c>
    </row>
    <row r="334" spans="1:6">
      <c r="B334" s="86">
        <v>420</v>
      </c>
      <c r="D334" s="88" t="s">
        <v>214</v>
      </c>
      <c r="E334" s="88" t="s">
        <v>779</v>
      </c>
      <c r="F334" s="88" t="s">
        <v>779</v>
      </c>
    </row>
    <row r="335" spans="1:6">
      <c r="B335" s="86">
        <v>421</v>
      </c>
      <c r="D335" s="88" t="s">
        <v>215</v>
      </c>
      <c r="E335" s="88" t="s">
        <v>780</v>
      </c>
      <c r="F335" s="88" t="s">
        <v>780</v>
      </c>
    </row>
    <row r="336" spans="1:6">
      <c r="B336" s="86">
        <v>422</v>
      </c>
      <c r="D336" s="88" t="s">
        <v>216</v>
      </c>
      <c r="E336" s="88" t="s">
        <v>781</v>
      </c>
      <c r="F336" s="88" t="s">
        <v>781</v>
      </c>
    </row>
    <row r="337" spans="2:6">
      <c r="B337" s="86">
        <v>423</v>
      </c>
      <c r="D337" s="88" t="s">
        <v>217</v>
      </c>
      <c r="E337" s="88" t="s">
        <v>782</v>
      </c>
      <c r="F337" s="88" t="s">
        <v>782</v>
      </c>
    </row>
    <row r="338" spans="2:6">
      <c r="B338" s="86">
        <v>424</v>
      </c>
      <c r="D338" s="88" t="s">
        <v>218</v>
      </c>
      <c r="E338" s="88" t="s">
        <v>783</v>
      </c>
      <c r="F338" s="88" t="s">
        <v>783</v>
      </c>
    </row>
    <row r="339" spans="2:6">
      <c r="B339" s="86">
        <v>425</v>
      </c>
      <c r="D339" s="88" t="s">
        <v>219</v>
      </c>
      <c r="E339" s="88" t="s">
        <v>784</v>
      </c>
      <c r="F339" s="88" t="s">
        <v>784</v>
      </c>
    </row>
    <row r="340" spans="2:6">
      <c r="B340" s="86">
        <v>426</v>
      </c>
      <c r="D340" s="88" t="s">
        <v>220</v>
      </c>
      <c r="E340" s="88" t="s">
        <v>785</v>
      </c>
      <c r="F340" s="88" t="s">
        <v>785</v>
      </c>
    </row>
    <row r="341" spans="2:6">
      <c r="B341" s="86">
        <v>427</v>
      </c>
      <c r="D341" s="88" t="s">
        <v>221</v>
      </c>
      <c r="E341" s="88" t="s">
        <v>786</v>
      </c>
      <c r="F341" s="88" t="s">
        <v>786</v>
      </c>
    </row>
    <row r="342" spans="2:6">
      <c r="B342" s="86">
        <v>428</v>
      </c>
      <c r="D342" s="88" t="s">
        <v>222</v>
      </c>
      <c r="E342" s="88" t="s">
        <v>787</v>
      </c>
      <c r="F342" s="88" t="s">
        <v>787</v>
      </c>
    </row>
    <row r="343" spans="2:6">
      <c r="B343" s="86">
        <v>429</v>
      </c>
      <c r="D343" s="88" t="s">
        <v>223</v>
      </c>
      <c r="E343" s="88" t="s">
        <v>788</v>
      </c>
      <c r="F343" s="88" t="s">
        <v>788</v>
      </c>
    </row>
    <row r="344" spans="2:6">
      <c r="B344" s="86">
        <v>430</v>
      </c>
      <c r="D344" s="88" t="s">
        <v>1040</v>
      </c>
      <c r="E344" s="88" t="s">
        <v>1041</v>
      </c>
      <c r="F344" s="88" t="s">
        <v>1041</v>
      </c>
    </row>
    <row r="345" spans="2:6">
      <c r="B345" s="86">
        <v>431</v>
      </c>
      <c r="D345" s="88" t="s">
        <v>1038</v>
      </c>
      <c r="E345" s="88" t="s">
        <v>1039</v>
      </c>
      <c r="F345" s="88" t="s">
        <v>1039</v>
      </c>
    </row>
    <row r="346" spans="2:6">
      <c r="B346" s="86">
        <v>432</v>
      </c>
      <c r="D346" s="88" t="s">
        <v>224</v>
      </c>
      <c r="E346" s="88" t="s">
        <v>1006</v>
      </c>
      <c r="F346" s="88" t="s">
        <v>1006</v>
      </c>
    </row>
    <row r="347" spans="2:6">
      <c r="B347" s="86">
        <v>433</v>
      </c>
      <c r="D347" s="88" t="s">
        <v>225</v>
      </c>
      <c r="E347" s="88" t="s">
        <v>789</v>
      </c>
      <c r="F347" s="88" t="s">
        <v>789</v>
      </c>
    </row>
    <row r="348" spans="2:6">
      <c r="B348" s="86">
        <v>434</v>
      </c>
      <c r="D348" s="88" t="s">
        <v>226</v>
      </c>
      <c r="E348" s="88" t="s">
        <v>790</v>
      </c>
      <c r="F348" s="88" t="s">
        <v>790</v>
      </c>
    </row>
    <row r="349" spans="2:6">
      <c r="B349" s="86">
        <v>435</v>
      </c>
      <c r="D349" s="88" t="s">
        <v>227</v>
      </c>
      <c r="E349" s="88" t="s">
        <v>791</v>
      </c>
      <c r="F349" s="88" t="s">
        <v>791</v>
      </c>
    </row>
    <row r="350" spans="2:6">
      <c r="B350" s="86">
        <v>436</v>
      </c>
      <c r="D350" s="88" t="s">
        <v>228</v>
      </c>
      <c r="E350" s="88" t="s">
        <v>1023</v>
      </c>
      <c r="F350" s="88" t="s">
        <v>1023</v>
      </c>
    </row>
    <row r="351" spans="2:6">
      <c r="B351" s="86">
        <v>437</v>
      </c>
      <c r="D351" s="88" t="s">
        <v>229</v>
      </c>
      <c r="E351" s="88" t="s">
        <v>1024</v>
      </c>
      <c r="F351" s="88" t="s">
        <v>1024</v>
      </c>
    </row>
    <row r="352" spans="2:6">
      <c r="B352" s="86">
        <v>438</v>
      </c>
      <c r="D352" s="88" t="s">
        <v>1042</v>
      </c>
      <c r="E352" s="88" t="s">
        <v>1043</v>
      </c>
      <c r="F352" s="88" t="s">
        <v>1043</v>
      </c>
    </row>
    <row r="353" spans="2:6">
      <c r="B353" s="86">
        <v>439</v>
      </c>
      <c r="D353" s="88" t="s">
        <v>1019</v>
      </c>
      <c r="E353" s="88" t="s">
        <v>1020</v>
      </c>
      <c r="F353" s="88" t="s">
        <v>1020</v>
      </c>
    </row>
    <row r="354" spans="2:6">
      <c r="B354" s="86">
        <v>440</v>
      </c>
      <c r="D354" s="88" t="s">
        <v>463</v>
      </c>
      <c r="E354" s="88" t="s">
        <v>463</v>
      </c>
      <c r="F354" s="88" t="s">
        <v>463</v>
      </c>
    </row>
    <row r="355" spans="2:6" ht="24">
      <c r="B355" s="86">
        <v>441</v>
      </c>
      <c r="C355" s="87" t="s">
        <v>1079</v>
      </c>
      <c r="D355" s="88" t="s">
        <v>1141</v>
      </c>
      <c r="E355" s="88" t="s">
        <v>1140</v>
      </c>
      <c r="F355" s="88" t="s">
        <v>1140</v>
      </c>
    </row>
    <row r="356" spans="2:6">
      <c r="B356" s="86">
        <v>442</v>
      </c>
      <c r="D356" s="88" t="s">
        <v>1194</v>
      </c>
      <c r="E356" s="88" t="s">
        <v>1199</v>
      </c>
      <c r="F356" s="88" t="s">
        <v>1199</v>
      </c>
    </row>
    <row r="357" spans="2:6">
      <c r="B357" s="86">
        <v>443</v>
      </c>
      <c r="C357" s="87" t="s">
        <v>580</v>
      </c>
      <c r="D357" s="88" t="s">
        <v>963</v>
      </c>
      <c r="E357" s="88" t="s">
        <v>965</v>
      </c>
      <c r="F357" s="88" t="s">
        <v>965</v>
      </c>
    </row>
    <row r="358" spans="2:6">
      <c r="B358" s="86">
        <v>444</v>
      </c>
      <c r="D358" s="88" t="s">
        <v>230</v>
      </c>
      <c r="E358" s="88" t="s">
        <v>1007</v>
      </c>
      <c r="F358" s="88" t="s">
        <v>1007</v>
      </c>
    </row>
    <row r="359" spans="2:6" ht="24">
      <c r="B359" s="86">
        <v>445</v>
      </c>
      <c r="D359" s="88" t="s">
        <v>231</v>
      </c>
      <c r="E359" s="88" t="s">
        <v>792</v>
      </c>
      <c r="F359" s="88" t="s">
        <v>792</v>
      </c>
    </row>
    <row r="360" spans="2:6">
      <c r="B360" s="86">
        <v>446</v>
      </c>
      <c r="D360" s="88" t="s">
        <v>232</v>
      </c>
      <c r="E360" s="88" t="s">
        <v>793</v>
      </c>
      <c r="F360" s="88" t="s">
        <v>793</v>
      </c>
    </row>
    <row r="361" spans="2:6">
      <c r="B361" s="86">
        <v>447</v>
      </c>
      <c r="D361" s="88" t="s">
        <v>1206</v>
      </c>
      <c r="E361" s="88" t="s">
        <v>1203</v>
      </c>
      <c r="F361" s="88" t="s">
        <v>1203</v>
      </c>
    </row>
    <row r="362" spans="2:6" ht="24">
      <c r="B362" s="86">
        <v>448</v>
      </c>
      <c r="D362" s="88" t="s">
        <v>233</v>
      </c>
      <c r="E362" s="88" t="s">
        <v>794</v>
      </c>
      <c r="F362" s="88" t="s">
        <v>794</v>
      </c>
    </row>
    <row r="363" spans="2:6">
      <c r="B363" s="86">
        <v>449</v>
      </c>
      <c r="D363" s="195" t="s">
        <v>517</v>
      </c>
      <c r="E363" s="88" t="s">
        <v>518</v>
      </c>
      <c r="F363" s="88" t="s">
        <v>518</v>
      </c>
    </row>
    <row r="364" spans="2:6">
      <c r="B364" s="86">
        <v>450</v>
      </c>
      <c r="D364" s="88" t="s">
        <v>464</v>
      </c>
      <c r="E364" s="88" t="s">
        <v>795</v>
      </c>
      <c r="F364" s="88" t="s">
        <v>795</v>
      </c>
    </row>
    <row r="365" spans="2:6">
      <c r="B365" s="86">
        <v>451</v>
      </c>
      <c r="D365" s="88" t="s">
        <v>234</v>
      </c>
      <c r="E365" s="88" t="s">
        <v>796</v>
      </c>
      <c r="F365" s="88" t="s">
        <v>796</v>
      </c>
    </row>
    <row r="366" spans="2:6">
      <c r="B366" s="86">
        <v>452</v>
      </c>
      <c r="D366" s="88" t="s">
        <v>465</v>
      </c>
      <c r="E366" s="88" t="s">
        <v>961</v>
      </c>
      <c r="F366" s="88" t="s">
        <v>961</v>
      </c>
    </row>
    <row r="367" spans="2:6">
      <c r="B367" s="86">
        <v>453</v>
      </c>
      <c r="D367" s="88" t="s">
        <v>235</v>
      </c>
      <c r="E367" s="88" t="s">
        <v>797</v>
      </c>
      <c r="F367" s="88" t="s">
        <v>797</v>
      </c>
    </row>
    <row r="368" spans="2:6">
      <c r="B368" s="86">
        <v>454</v>
      </c>
      <c r="D368" s="88" t="s">
        <v>236</v>
      </c>
      <c r="E368" s="88" t="s">
        <v>798</v>
      </c>
      <c r="F368" s="88" t="s">
        <v>798</v>
      </c>
    </row>
    <row r="369" spans="2:6">
      <c r="B369" s="86">
        <v>455</v>
      </c>
      <c r="C369" s="87" t="s">
        <v>1079</v>
      </c>
      <c r="D369" s="88" t="s">
        <v>1131</v>
      </c>
      <c r="E369" s="88" t="s">
        <v>563</v>
      </c>
      <c r="F369" s="88" t="s">
        <v>563</v>
      </c>
    </row>
    <row r="370" spans="2:6">
      <c r="B370" s="86">
        <v>456</v>
      </c>
      <c r="D370" s="88" t="s">
        <v>237</v>
      </c>
      <c r="E370" s="88" t="s">
        <v>563</v>
      </c>
      <c r="F370" s="88" t="s">
        <v>563</v>
      </c>
    </row>
    <row r="371" spans="2:6">
      <c r="B371" s="86">
        <v>457</v>
      </c>
      <c r="D371" s="88" t="s">
        <v>238</v>
      </c>
      <c r="E371" s="88" t="s">
        <v>799</v>
      </c>
      <c r="F371" s="88" t="s">
        <v>799</v>
      </c>
    </row>
    <row r="372" spans="2:6">
      <c r="B372" s="86">
        <v>458</v>
      </c>
      <c r="D372" s="88" t="s">
        <v>1336</v>
      </c>
      <c r="E372" s="88" t="s">
        <v>1335</v>
      </c>
      <c r="F372" s="88" t="s">
        <v>1335</v>
      </c>
    </row>
    <row r="373" spans="2:6">
      <c r="B373" s="86">
        <v>459</v>
      </c>
      <c r="D373" s="88" t="s">
        <v>239</v>
      </c>
      <c r="E373" s="88" t="s">
        <v>800</v>
      </c>
      <c r="F373" s="88" t="s">
        <v>800</v>
      </c>
    </row>
    <row r="374" spans="2:6">
      <c r="B374" s="86">
        <v>460</v>
      </c>
      <c r="D374" s="88" t="s">
        <v>240</v>
      </c>
      <c r="F374" s="88"/>
    </row>
    <row r="375" spans="2:6">
      <c r="B375" s="86">
        <v>461</v>
      </c>
      <c r="D375" s="88" t="s">
        <v>466</v>
      </c>
      <c r="E375" s="88" t="s">
        <v>801</v>
      </c>
      <c r="F375" s="88" t="s">
        <v>801</v>
      </c>
    </row>
    <row r="376" spans="2:6" ht="24">
      <c r="B376" s="86">
        <v>462</v>
      </c>
      <c r="D376" s="88" t="s">
        <v>1247</v>
      </c>
      <c r="E376" s="88" t="s">
        <v>802</v>
      </c>
      <c r="F376" s="88" t="s">
        <v>802</v>
      </c>
    </row>
    <row r="377" spans="2:6" ht="24">
      <c r="B377" s="86">
        <v>463</v>
      </c>
      <c r="D377" s="88" t="s">
        <v>241</v>
      </c>
      <c r="E377" s="88" t="s">
        <v>803</v>
      </c>
      <c r="F377" s="88" t="s">
        <v>803</v>
      </c>
    </row>
    <row r="378" spans="2:6">
      <c r="B378" s="86">
        <v>464</v>
      </c>
      <c r="D378" s="88" t="s">
        <v>242</v>
      </c>
      <c r="E378" s="88" t="s">
        <v>804</v>
      </c>
      <c r="F378" s="88" t="s">
        <v>804</v>
      </c>
    </row>
    <row r="379" spans="2:6">
      <c r="B379" s="86">
        <v>465</v>
      </c>
      <c r="D379" s="88" t="s">
        <v>243</v>
      </c>
      <c r="E379" s="88" t="s">
        <v>805</v>
      </c>
      <c r="F379" s="88" t="s">
        <v>805</v>
      </c>
    </row>
    <row r="380" spans="2:6">
      <c r="B380" s="86">
        <v>466</v>
      </c>
      <c r="C380" s="87" t="s">
        <v>1079</v>
      </c>
      <c r="D380" s="88" t="s">
        <v>1123</v>
      </c>
      <c r="E380" s="88" t="s">
        <v>1086</v>
      </c>
      <c r="F380" s="88" t="s">
        <v>1086</v>
      </c>
    </row>
    <row r="381" spans="2:6">
      <c r="B381" s="86">
        <v>467</v>
      </c>
      <c r="C381" s="87" t="s">
        <v>1079</v>
      </c>
      <c r="D381" s="88" t="s">
        <v>1128</v>
      </c>
      <c r="E381" s="88" t="s">
        <v>1092</v>
      </c>
      <c r="F381" s="88" t="s">
        <v>1092</v>
      </c>
    </row>
    <row r="382" spans="2:6">
      <c r="B382" s="86">
        <v>468</v>
      </c>
      <c r="D382" s="88" t="s">
        <v>244</v>
      </c>
      <c r="E382" s="88" t="s">
        <v>806</v>
      </c>
      <c r="F382" s="88" t="s">
        <v>806</v>
      </c>
    </row>
    <row r="383" spans="2:6">
      <c r="B383" s="86">
        <v>469</v>
      </c>
      <c r="C383" s="87" t="s">
        <v>1079</v>
      </c>
      <c r="D383" s="88" t="s">
        <v>1119</v>
      </c>
      <c r="E383" s="88" t="s">
        <v>1082</v>
      </c>
      <c r="F383" s="88" t="s">
        <v>1082</v>
      </c>
    </row>
    <row r="384" spans="2:6" ht="24">
      <c r="B384" s="86">
        <v>470</v>
      </c>
      <c r="C384" s="87" t="s">
        <v>1079</v>
      </c>
      <c r="D384" s="88" t="s">
        <v>1121</v>
      </c>
      <c r="E384" s="88" t="s">
        <v>1085</v>
      </c>
      <c r="F384" s="88" t="s">
        <v>1085</v>
      </c>
    </row>
    <row r="385" spans="2:6">
      <c r="B385" s="86">
        <v>471</v>
      </c>
      <c r="C385" s="87" t="s">
        <v>1079</v>
      </c>
      <c r="D385" s="88" t="s">
        <v>1122</v>
      </c>
      <c r="E385" s="88" t="s">
        <v>1084</v>
      </c>
      <c r="F385" s="88" t="s">
        <v>1084</v>
      </c>
    </row>
    <row r="386" spans="2:6">
      <c r="B386" s="86">
        <v>472</v>
      </c>
      <c r="D386" s="88" t="s">
        <v>245</v>
      </c>
      <c r="E386" s="88" t="s">
        <v>807</v>
      </c>
      <c r="F386" s="88" t="s">
        <v>807</v>
      </c>
    </row>
    <row r="387" spans="2:6">
      <c r="B387" s="86">
        <v>473</v>
      </c>
      <c r="D387" s="88" t="s">
        <v>246</v>
      </c>
      <c r="E387" s="88" t="s">
        <v>808</v>
      </c>
      <c r="F387" s="88" t="s">
        <v>808</v>
      </c>
    </row>
    <row r="388" spans="2:6" ht="36">
      <c r="B388" s="86">
        <v>474</v>
      </c>
      <c r="C388" s="87" t="s">
        <v>1079</v>
      </c>
      <c r="D388" s="88" t="s">
        <v>1143</v>
      </c>
      <c r="E388" s="88" t="s">
        <v>1103</v>
      </c>
      <c r="F388" s="88" t="s">
        <v>1103</v>
      </c>
    </row>
    <row r="389" spans="2:6">
      <c r="B389" s="86">
        <v>475</v>
      </c>
      <c r="D389" s="88" t="s">
        <v>247</v>
      </c>
      <c r="E389" s="88" t="s">
        <v>809</v>
      </c>
      <c r="F389" s="88" t="s">
        <v>809</v>
      </c>
    </row>
    <row r="390" spans="2:6">
      <c r="B390" s="86">
        <v>476</v>
      </c>
      <c r="D390" s="88" t="s">
        <v>1346</v>
      </c>
      <c r="E390" s="88" t="s">
        <v>1347</v>
      </c>
      <c r="F390" s="88" t="s">
        <v>1347</v>
      </c>
    </row>
    <row r="391" spans="2:6">
      <c r="B391" s="86">
        <v>477</v>
      </c>
      <c r="D391" s="88" t="s">
        <v>248</v>
      </c>
      <c r="E391" s="88" t="s">
        <v>554</v>
      </c>
      <c r="F391" s="88" t="s">
        <v>554</v>
      </c>
    </row>
    <row r="392" spans="2:6">
      <c r="B392" s="86">
        <v>478</v>
      </c>
      <c r="D392" s="88" t="s">
        <v>249</v>
      </c>
      <c r="E392" s="88" t="s">
        <v>810</v>
      </c>
      <c r="F392" s="88" t="s">
        <v>810</v>
      </c>
    </row>
    <row r="393" spans="2:6">
      <c r="B393" s="86">
        <v>479</v>
      </c>
      <c r="D393" s="88" t="s">
        <v>250</v>
      </c>
      <c r="E393" s="88" t="s">
        <v>811</v>
      </c>
      <c r="F393" s="88" t="s">
        <v>811</v>
      </c>
    </row>
    <row r="394" spans="2:6">
      <c r="B394" s="86">
        <v>480</v>
      </c>
      <c r="D394" s="88" t="s">
        <v>251</v>
      </c>
      <c r="E394" s="88" t="s">
        <v>812</v>
      </c>
      <c r="F394" s="88" t="s">
        <v>812</v>
      </c>
    </row>
    <row r="395" spans="2:6" ht="24">
      <c r="B395" s="86">
        <v>481</v>
      </c>
      <c r="D395" s="88" t="s">
        <v>252</v>
      </c>
      <c r="E395" s="88" t="s">
        <v>813</v>
      </c>
      <c r="F395" s="88" t="s">
        <v>813</v>
      </c>
    </row>
    <row r="396" spans="2:6">
      <c r="B396" s="86">
        <v>482</v>
      </c>
      <c r="D396" s="88" t="s">
        <v>1342</v>
      </c>
      <c r="E396" s="88" t="s">
        <v>1263</v>
      </c>
      <c r="F396" s="88" t="s">
        <v>1263</v>
      </c>
    </row>
    <row r="397" spans="2:6">
      <c r="B397" s="86">
        <v>483</v>
      </c>
      <c r="D397" s="88" t="s">
        <v>1340</v>
      </c>
      <c r="E397" s="88" t="s">
        <v>1258</v>
      </c>
      <c r="F397" s="88" t="s">
        <v>1258</v>
      </c>
    </row>
    <row r="398" spans="2:6">
      <c r="B398" s="86">
        <v>484</v>
      </c>
      <c r="D398" s="88" t="s">
        <v>1341</v>
      </c>
      <c r="E398" s="88" t="s">
        <v>1259</v>
      </c>
      <c r="F398" s="88" t="s">
        <v>1259</v>
      </c>
    </row>
    <row r="399" spans="2:6">
      <c r="B399" s="86">
        <v>485</v>
      </c>
      <c r="D399" s="88" t="s">
        <v>253</v>
      </c>
      <c r="E399" s="88" t="s">
        <v>814</v>
      </c>
      <c r="F399" s="88" t="s">
        <v>814</v>
      </c>
    </row>
    <row r="400" spans="2:6">
      <c r="B400" s="86">
        <v>486</v>
      </c>
      <c r="C400" s="87" t="s">
        <v>580</v>
      </c>
      <c r="D400" s="88" t="s">
        <v>959</v>
      </c>
      <c r="E400" s="88" t="s">
        <v>960</v>
      </c>
      <c r="F400" s="88" t="s">
        <v>960</v>
      </c>
    </row>
    <row r="401" spans="2:6">
      <c r="B401" s="86">
        <v>487</v>
      </c>
      <c r="D401" s="88" t="s">
        <v>254</v>
      </c>
      <c r="E401" s="88" t="s">
        <v>815</v>
      </c>
      <c r="F401" s="88" t="s">
        <v>815</v>
      </c>
    </row>
    <row r="402" spans="2:6">
      <c r="B402" s="86">
        <v>488</v>
      </c>
      <c r="C402" s="87" t="s">
        <v>989</v>
      </c>
      <c r="D402" s="88" t="s">
        <v>985</v>
      </c>
      <c r="E402" s="88" t="s">
        <v>981</v>
      </c>
      <c r="F402" s="88" t="s">
        <v>981</v>
      </c>
    </row>
    <row r="403" spans="2:6">
      <c r="B403" s="86">
        <v>489</v>
      </c>
      <c r="C403" s="87" t="s">
        <v>989</v>
      </c>
      <c r="D403" s="88" t="s">
        <v>984</v>
      </c>
      <c r="E403" s="88" t="s">
        <v>982</v>
      </c>
      <c r="F403" s="88" t="s">
        <v>982</v>
      </c>
    </row>
    <row r="404" spans="2:6">
      <c r="B404" s="86">
        <v>490</v>
      </c>
      <c r="D404" s="88" t="s">
        <v>255</v>
      </c>
      <c r="E404" s="88" t="s">
        <v>561</v>
      </c>
      <c r="F404" s="88" t="s">
        <v>561</v>
      </c>
    </row>
    <row r="405" spans="2:6">
      <c r="B405" s="86">
        <v>491</v>
      </c>
      <c r="D405" s="88" t="s">
        <v>256</v>
      </c>
      <c r="E405" s="88" t="s">
        <v>816</v>
      </c>
      <c r="F405" s="88" t="s">
        <v>816</v>
      </c>
    </row>
    <row r="406" spans="2:6">
      <c r="B406" s="86">
        <v>492</v>
      </c>
      <c r="C406" s="87" t="s">
        <v>1079</v>
      </c>
      <c r="D406" s="88" t="s">
        <v>1127</v>
      </c>
      <c r="E406" s="88" t="s">
        <v>1091</v>
      </c>
      <c r="F406" s="88" t="s">
        <v>1091</v>
      </c>
    </row>
    <row r="407" spans="2:6">
      <c r="B407" s="86">
        <v>493</v>
      </c>
      <c r="D407" s="88" t="s">
        <v>257</v>
      </c>
      <c r="E407" s="88" t="s">
        <v>817</v>
      </c>
      <c r="F407" s="88" t="s">
        <v>817</v>
      </c>
    </row>
    <row r="408" spans="2:6" ht="48">
      <c r="B408" s="86">
        <v>494</v>
      </c>
      <c r="D408" s="88" t="s">
        <v>258</v>
      </c>
      <c r="E408" s="88" t="s">
        <v>818</v>
      </c>
      <c r="F408" s="88" t="s">
        <v>818</v>
      </c>
    </row>
    <row r="409" spans="2:6">
      <c r="B409" s="86">
        <v>495</v>
      </c>
      <c r="D409" s="88" t="s">
        <v>259</v>
      </c>
      <c r="E409" s="88" t="s">
        <v>819</v>
      </c>
      <c r="F409" s="88" t="s">
        <v>819</v>
      </c>
    </row>
    <row r="410" spans="2:6" ht="24">
      <c r="B410" s="86">
        <v>496</v>
      </c>
      <c r="D410" s="88" t="s">
        <v>260</v>
      </c>
      <c r="E410" s="88" t="s">
        <v>820</v>
      </c>
      <c r="F410" s="88" t="s">
        <v>820</v>
      </c>
    </row>
    <row r="411" spans="2:6" ht="24">
      <c r="B411" s="86">
        <v>497</v>
      </c>
      <c r="D411" s="88" t="s">
        <v>261</v>
      </c>
      <c r="E411" s="88" t="s">
        <v>821</v>
      </c>
      <c r="F411" s="88" t="s">
        <v>821</v>
      </c>
    </row>
    <row r="412" spans="2:6" ht="24">
      <c r="B412" s="86">
        <v>498</v>
      </c>
      <c r="D412" s="88" t="s">
        <v>262</v>
      </c>
      <c r="E412" s="88" t="s">
        <v>822</v>
      </c>
      <c r="F412" s="88" t="s">
        <v>822</v>
      </c>
    </row>
    <row r="413" spans="2:6" ht="24">
      <c r="B413" s="86">
        <v>499</v>
      </c>
      <c r="D413" s="88" t="s">
        <v>263</v>
      </c>
      <c r="E413" s="88" t="s">
        <v>823</v>
      </c>
      <c r="F413" s="88" t="s">
        <v>823</v>
      </c>
    </row>
    <row r="414" spans="2:6" ht="24">
      <c r="B414" s="86">
        <v>500</v>
      </c>
      <c r="D414" s="88" t="s">
        <v>264</v>
      </c>
      <c r="E414" s="88" t="s">
        <v>824</v>
      </c>
      <c r="F414" s="88" t="s">
        <v>824</v>
      </c>
    </row>
    <row r="415" spans="2:6" ht="24">
      <c r="B415" s="86">
        <v>501</v>
      </c>
      <c r="D415" s="88" t="s">
        <v>265</v>
      </c>
      <c r="E415" s="88" t="s">
        <v>825</v>
      </c>
      <c r="F415" s="88" t="s">
        <v>825</v>
      </c>
    </row>
    <row r="416" spans="2:6" ht="24">
      <c r="B416" s="86">
        <v>502</v>
      </c>
      <c r="D416" s="88" t="s">
        <v>266</v>
      </c>
      <c r="E416" s="88" t="s">
        <v>826</v>
      </c>
      <c r="F416" s="88" t="s">
        <v>826</v>
      </c>
    </row>
    <row r="417" spans="2:6" ht="24">
      <c r="B417" s="86">
        <v>503</v>
      </c>
      <c r="D417" s="88" t="s">
        <v>267</v>
      </c>
      <c r="E417" s="88" t="s">
        <v>827</v>
      </c>
      <c r="F417" s="88" t="s">
        <v>827</v>
      </c>
    </row>
    <row r="418" spans="2:6" ht="24">
      <c r="B418" s="86">
        <v>504</v>
      </c>
      <c r="D418" s="88" t="s">
        <v>268</v>
      </c>
      <c r="E418" s="88" t="s">
        <v>828</v>
      </c>
      <c r="F418" s="88" t="s">
        <v>828</v>
      </c>
    </row>
    <row r="419" spans="2:6" ht="24">
      <c r="B419" s="86">
        <v>505</v>
      </c>
      <c r="D419" s="88" t="s">
        <v>269</v>
      </c>
      <c r="E419" s="88" t="s">
        <v>829</v>
      </c>
      <c r="F419" s="88" t="s">
        <v>829</v>
      </c>
    </row>
    <row r="420" spans="2:6" ht="24">
      <c r="B420" s="86">
        <v>506</v>
      </c>
      <c r="D420" s="88" t="s">
        <v>270</v>
      </c>
      <c r="E420" s="88" t="s">
        <v>830</v>
      </c>
      <c r="F420" s="88" t="s">
        <v>830</v>
      </c>
    </row>
    <row r="421" spans="2:6" ht="24">
      <c r="B421" s="86">
        <v>507</v>
      </c>
      <c r="D421" s="88" t="s">
        <v>271</v>
      </c>
      <c r="E421" s="88" t="s">
        <v>831</v>
      </c>
      <c r="F421" s="88" t="s">
        <v>831</v>
      </c>
    </row>
    <row r="422" spans="2:6" ht="24">
      <c r="B422" s="86">
        <v>508</v>
      </c>
      <c r="D422" s="88" t="s">
        <v>272</v>
      </c>
      <c r="E422" s="88" t="s">
        <v>832</v>
      </c>
      <c r="F422" s="88" t="s">
        <v>832</v>
      </c>
    </row>
    <row r="423" spans="2:6" ht="24">
      <c r="B423" s="86">
        <v>509</v>
      </c>
      <c r="D423" s="88" t="s">
        <v>273</v>
      </c>
      <c r="E423" s="88" t="s">
        <v>833</v>
      </c>
      <c r="F423" s="88" t="s">
        <v>833</v>
      </c>
    </row>
    <row r="424" spans="2:6" ht="24">
      <c r="B424" s="86">
        <v>510</v>
      </c>
      <c r="D424" s="88" t="s">
        <v>274</v>
      </c>
      <c r="E424" s="88" t="s">
        <v>834</v>
      </c>
      <c r="F424" s="88" t="s">
        <v>834</v>
      </c>
    </row>
    <row r="425" spans="2:6" ht="24">
      <c r="B425" s="86">
        <v>511</v>
      </c>
      <c r="D425" s="88" t="s">
        <v>275</v>
      </c>
      <c r="E425" s="88" t="s">
        <v>835</v>
      </c>
      <c r="F425" s="88" t="s">
        <v>835</v>
      </c>
    </row>
    <row r="426" spans="2:6" ht="24">
      <c r="B426" s="86">
        <v>512</v>
      </c>
      <c r="D426" s="88" t="s">
        <v>276</v>
      </c>
      <c r="E426" s="88" t="s">
        <v>836</v>
      </c>
      <c r="F426" s="88" t="s">
        <v>836</v>
      </c>
    </row>
    <row r="427" spans="2:6" ht="24">
      <c r="B427" s="86">
        <v>513</v>
      </c>
      <c r="D427" s="88" t="s">
        <v>277</v>
      </c>
      <c r="E427" s="88" t="s">
        <v>837</v>
      </c>
      <c r="F427" s="88" t="s">
        <v>837</v>
      </c>
    </row>
    <row r="428" spans="2:6" ht="24">
      <c r="B428" s="86">
        <v>514</v>
      </c>
      <c r="D428" s="88" t="s">
        <v>278</v>
      </c>
      <c r="E428" s="88" t="s">
        <v>838</v>
      </c>
      <c r="F428" s="88" t="s">
        <v>838</v>
      </c>
    </row>
    <row r="429" spans="2:6" ht="24">
      <c r="B429" s="86">
        <v>515</v>
      </c>
      <c r="D429" s="88" t="s">
        <v>279</v>
      </c>
      <c r="E429" s="88" t="s">
        <v>839</v>
      </c>
      <c r="F429" s="88" t="s">
        <v>839</v>
      </c>
    </row>
    <row r="430" spans="2:6" ht="24">
      <c r="B430" s="86">
        <v>516</v>
      </c>
      <c r="D430" s="88" t="s">
        <v>280</v>
      </c>
      <c r="E430" s="88" t="s">
        <v>840</v>
      </c>
      <c r="F430" s="88" t="s">
        <v>840</v>
      </c>
    </row>
    <row r="431" spans="2:6" ht="24">
      <c r="B431" s="86">
        <v>517</v>
      </c>
      <c r="D431" s="88" t="s">
        <v>467</v>
      </c>
      <c r="E431" s="88" t="s">
        <v>841</v>
      </c>
      <c r="F431" s="88" t="s">
        <v>841</v>
      </c>
    </row>
    <row r="432" spans="2:6" ht="24">
      <c r="B432" s="86">
        <v>518</v>
      </c>
      <c r="D432" s="88" t="s">
        <v>468</v>
      </c>
      <c r="E432" s="88" t="s">
        <v>841</v>
      </c>
      <c r="F432" s="88" t="s">
        <v>841</v>
      </c>
    </row>
    <row r="433" spans="1:27" ht="24">
      <c r="B433" s="86">
        <v>519</v>
      </c>
      <c r="D433" s="88" t="s">
        <v>281</v>
      </c>
      <c r="E433" s="88" t="s">
        <v>842</v>
      </c>
      <c r="F433" s="88" t="s">
        <v>842</v>
      </c>
    </row>
    <row r="434" spans="1:27" ht="24">
      <c r="B434" s="86">
        <v>520</v>
      </c>
      <c r="D434" s="88" t="s">
        <v>282</v>
      </c>
      <c r="E434" s="88" t="s">
        <v>843</v>
      </c>
      <c r="F434" s="88" t="s">
        <v>843</v>
      </c>
    </row>
    <row r="435" spans="1:27" ht="24">
      <c r="B435" s="86">
        <v>521</v>
      </c>
      <c r="D435" s="88" t="s">
        <v>283</v>
      </c>
      <c r="E435" s="88" t="s">
        <v>844</v>
      </c>
      <c r="F435" s="88" t="s">
        <v>844</v>
      </c>
    </row>
    <row r="436" spans="1:27" ht="24">
      <c r="B436" s="86">
        <v>522</v>
      </c>
      <c r="D436" s="88" t="s">
        <v>284</v>
      </c>
      <c r="E436" s="88" t="s">
        <v>845</v>
      </c>
      <c r="F436" s="88" t="s">
        <v>845</v>
      </c>
    </row>
    <row r="437" spans="1:27" ht="24">
      <c r="B437" s="86">
        <v>523</v>
      </c>
      <c r="D437" s="88" t="s">
        <v>469</v>
      </c>
      <c r="E437" s="88" t="s">
        <v>846</v>
      </c>
      <c r="F437" s="88" t="s">
        <v>846</v>
      </c>
    </row>
    <row r="438" spans="1:27" s="195" customFormat="1" ht="24">
      <c r="A438" s="85"/>
      <c r="B438" s="86">
        <v>524</v>
      </c>
      <c r="C438" s="87"/>
      <c r="D438" s="88" t="s">
        <v>470</v>
      </c>
      <c r="E438" s="88" t="s">
        <v>847</v>
      </c>
      <c r="F438" s="88" t="s">
        <v>847</v>
      </c>
      <c r="G438" s="85"/>
      <c r="H438" s="85"/>
      <c r="I438" s="85"/>
      <c r="J438" s="85"/>
      <c r="K438" s="85"/>
      <c r="L438" s="85"/>
      <c r="M438" s="85"/>
      <c r="N438" s="85"/>
      <c r="O438" s="85"/>
      <c r="P438" s="85"/>
      <c r="Q438" s="85"/>
      <c r="R438" s="85"/>
      <c r="S438" s="85"/>
      <c r="T438" s="85"/>
      <c r="U438" s="85"/>
      <c r="V438" s="85"/>
      <c r="W438" s="85"/>
      <c r="X438" s="85"/>
      <c r="Y438" s="85"/>
      <c r="Z438" s="85"/>
      <c r="AA438" s="85"/>
    </row>
    <row r="439" spans="1:27" s="195" customFormat="1">
      <c r="A439" s="85"/>
      <c r="B439" s="86">
        <v>525</v>
      </c>
      <c r="C439" s="87"/>
      <c r="D439" s="88" t="s">
        <v>285</v>
      </c>
      <c r="E439" s="88" t="s">
        <v>848</v>
      </c>
      <c r="F439" s="88" t="s">
        <v>848</v>
      </c>
      <c r="G439" s="85"/>
      <c r="H439" s="85"/>
      <c r="I439" s="85"/>
      <c r="J439" s="85"/>
      <c r="K439" s="85"/>
      <c r="L439" s="85"/>
      <c r="M439" s="85"/>
      <c r="N439" s="85"/>
      <c r="O439" s="85"/>
      <c r="P439" s="85"/>
      <c r="Q439" s="85"/>
      <c r="R439" s="85"/>
      <c r="S439" s="85"/>
      <c r="T439" s="85"/>
      <c r="U439" s="85"/>
      <c r="V439" s="85"/>
      <c r="W439" s="85"/>
      <c r="X439" s="85"/>
      <c r="Y439" s="85"/>
      <c r="Z439" s="85"/>
      <c r="AA439" s="85"/>
    </row>
    <row r="440" spans="1:27" s="196" customFormat="1" ht="36">
      <c r="A440" s="85"/>
      <c r="B440" s="86">
        <v>526</v>
      </c>
      <c r="C440" s="87"/>
      <c r="D440" s="88" t="s">
        <v>286</v>
      </c>
      <c r="E440" s="88" t="s">
        <v>849</v>
      </c>
      <c r="F440" s="88" t="s">
        <v>849</v>
      </c>
      <c r="G440" s="85"/>
      <c r="H440" s="85"/>
      <c r="I440" s="85"/>
      <c r="J440" s="85"/>
      <c r="K440" s="85"/>
      <c r="L440" s="85"/>
      <c r="M440" s="85"/>
      <c r="N440" s="85"/>
      <c r="O440" s="85"/>
      <c r="P440" s="85"/>
      <c r="Q440" s="85"/>
      <c r="R440" s="85"/>
      <c r="S440" s="85"/>
      <c r="T440" s="85"/>
      <c r="U440" s="85"/>
      <c r="V440" s="85"/>
      <c r="W440" s="85"/>
      <c r="X440" s="85"/>
      <c r="Y440" s="85"/>
      <c r="Z440" s="85"/>
      <c r="AA440" s="85"/>
    </row>
    <row r="441" spans="1:27" s="196" customFormat="1">
      <c r="A441" s="85"/>
      <c r="B441" s="86">
        <v>527</v>
      </c>
      <c r="C441" s="87"/>
      <c r="D441" s="88" t="s">
        <v>287</v>
      </c>
      <c r="E441" s="88" t="s">
        <v>850</v>
      </c>
      <c r="F441" s="88" t="s">
        <v>850</v>
      </c>
      <c r="G441" s="85"/>
      <c r="H441" s="85"/>
      <c r="I441" s="85"/>
      <c r="J441" s="85"/>
      <c r="K441" s="85"/>
      <c r="L441" s="85"/>
      <c r="M441" s="85"/>
      <c r="N441" s="85"/>
      <c r="O441" s="85"/>
      <c r="P441" s="85"/>
      <c r="Q441" s="85"/>
      <c r="R441" s="85"/>
      <c r="S441" s="85"/>
      <c r="T441" s="85"/>
      <c r="U441" s="85"/>
      <c r="V441" s="85"/>
      <c r="W441" s="85"/>
      <c r="X441" s="85"/>
      <c r="Y441" s="85"/>
      <c r="Z441" s="85"/>
      <c r="AA441" s="85"/>
    </row>
    <row r="442" spans="1:27" s="196" customFormat="1" ht="36">
      <c r="A442" s="85"/>
      <c r="B442" s="86">
        <v>528</v>
      </c>
      <c r="C442" s="87"/>
      <c r="D442" s="88" t="s">
        <v>288</v>
      </c>
      <c r="E442" s="88" t="s">
        <v>851</v>
      </c>
      <c r="F442" s="88" t="s">
        <v>851</v>
      </c>
      <c r="G442" s="85"/>
      <c r="H442" s="85"/>
      <c r="I442" s="85"/>
      <c r="J442" s="85"/>
      <c r="K442" s="85"/>
      <c r="L442" s="85"/>
      <c r="M442" s="85"/>
      <c r="N442" s="85"/>
      <c r="O442" s="85"/>
      <c r="P442" s="85"/>
      <c r="Q442" s="85"/>
      <c r="R442" s="85"/>
      <c r="S442" s="85"/>
      <c r="T442" s="85"/>
      <c r="U442" s="85"/>
      <c r="V442" s="85"/>
      <c r="W442" s="85"/>
      <c r="X442" s="85"/>
      <c r="Y442" s="85"/>
      <c r="Z442" s="85"/>
      <c r="AA442" s="85"/>
    </row>
    <row r="443" spans="1:27" s="196" customFormat="1" ht="24">
      <c r="A443" s="85"/>
      <c r="B443" s="86">
        <v>529</v>
      </c>
      <c r="C443" s="87"/>
      <c r="D443" s="88" t="s">
        <v>289</v>
      </c>
      <c r="E443" s="88" t="s">
        <v>852</v>
      </c>
      <c r="F443" s="88" t="s">
        <v>852</v>
      </c>
      <c r="G443" s="85"/>
      <c r="H443" s="85"/>
      <c r="I443" s="85"/>
      <c r="J443" s="85"/>
      <c r="K443" s="85"/>
      <c r="L443" s="85"/>
      <c r="M443" s="85"/>
      <c r="N443" s="85"/>
      <c r="O443" s="85"/>
      <c r="P443" s="85"/>
      <c r="Q443" s="85"/>
      <c r="R443" s="85"/>
      <c r="S443" s="85"/>
      <c r="T443" s="85"/>
      <c r="U443" s="85"/>
      <c r="V443" s="85"/>
      <c r="W443" s="85"/>
      <c r="X443" s="85"/>
      <c r="Y443" s="85"/>
      <c r="Z443" s="85"/>
      <c r="AA443" s="85"/>
    </row>
    <row r="444" spans="1:27" s="196" customFormat="1" ht="24">
      <c r="A444" s="85"/>
      <c r="B444" s="86">
        <v>530</v>
      </c>
      <c r="C444" s="87"/>
      <c r="D444" s="88" t="s">
        <v>290</v>
      </c>
      <c r="E444" s="88" t="s">
        <v>853</v>
      </c>
      <c r="F444" s="88" t="s">
        <v>853</v>
      </c>
      <c r="G444" s="85"/>
      <c r="H444" s="85"/>
      <c r="I444" s="85"/>
      <c r="J444" s="85"/>
      <c r="K444" s="85"/>
      <c r="L444" s="85"/>
      <c r="M444" s="85"/>
      <c r="N444" s="85"/>
      <c r="O444" s="85"/>
      <c r="P444" s="85"/>
      <c r="Q444" s="85"/>
      <c r="R444" s="85"/>
      <c r="S444" s="85"/>
      <c r="T444" s="85"/>
      <c r="U444" s="85"/>
      <c r="V444" s="85"/>
      <c r="W444" s="85"/>
      <c r="X444" s="85"/>
      <c r="Y444" s="85"/>
      <c r="Z444" s="85"/>
      <c r="AA444" s="85"/>
    </row>
    <row r="445" spans="1:27" s="196" customFormat="1" ht="24">
      <c r="A445" s="85"/>
      <c r="B445" s="86">
        <v>531</v>
      </c>
      <c r="C445" s="87"/>
      <c r="D445" s="88" t="s">
        <v>291</v>
      </c>
      <c r="E445" s="88" t="s">
        <v>854</v>
      </c>
      <c r="F445" s="88" t="s">
        <v>854</v>
      </c>
      <c r="G445" s="85"/>
      <c r="H445" s="85"/>
      <c r="I445" s="85"/>
      <c r="J445" s="85"/>
      <c r="K445" s="85"/>
      <c r="L445" s="85"/>
      <c r="M445" s="85"/>
      <c r="N445" s="85"/>
      <c r="O445" s="85"/>
      <c r="P445" s="85"/>
      <c r="Q445" s="85"/>
      <c r="R445" s="85"/>
      <c r="S445" s="85"/>
      <c r="T445" s="85"/>
      <c r="U445" s="85"/>
      <c r="V445" s="85"/>
      <c r="W445" s="85"/>
      <c r="X445" s="85"/>
      <c r="Y445" s="85"/>
      <c r="Z445" s="85"/>
      <c r="AA445" s="85"/>
    </row>
    <row r="446" spans="1:27" s="196" customFormat="1" ht="24">
      <c r="A446" s="85"/>
      <c r="B446" s="86">
        <v>532</v>
      </c>
      <c r="C446" s="87"/>
      <c r="D446" s="88" t="s">
        <v>292</v>
      </c>
      <c r="E446" s="88" t="s">
        <v>855</v>
      </c>
      <c r="F446" s="88" t="s">
        <v>855</v>
      </c>
      <c r="G446" s="85"/>
      <c r="H446" s="85"/>
      <c r="I446" s="85"/>
      <c r="J446" s="85"/>
      <c r="K446" s="85"/>
      <c r="L446" s="85"/>
      <c r="M446" s="85"/>
      <c r="N446" s="85"/>
      <c r="O446" s="85"/>
      <c r="P446" s="85"/>
      <c r="Q446" s="85"/>
      <c r="R446" s="85"/>
      <c r="S446" s="85"/>
      <c r="T446" s="85"/>
      <c r="U446" s="85"/>
      <c r="V446" s="85"/>
      <c r="W446" s="85"/>
      <c r="X446" s="85"/>
      <c r="Y446" s="85"/>
      <c r="Z446" s="85"/>
      <c r="AA446" s="85"/>
    </row>
    <row r="447" spans="1:27" s="196" customFormat="1">
      <c r="A447" s="85"/>
      <c r="B447" s="86">
        <v>533</v>
      </c>
      <c r="C447" s="87"/>
      <c r="D447" s="88" t="s">
        <v>293</v>
      </c>
      <c r="E447" s="88" t="s">
        <v>856</v>
      </c>
      <c r="F447" s="88" t="s">
        <v>856</v>
      </c>
      <c r="G447" s="85"/>
      <c r="H447" s="85"/>
      <c r="I447" s="85"/>
      <c r="J447" s="85"/>
      <c r="K447" s="85"/>
      <c r="L447" s="85"/>
      <c r="M447" s="85"/>
      <c r="N447" s="85"/>
      <c r="O447" s="85"/>
      <c r="P447" s="85"/>
      <c r="Q447" s="85"/>
      <c r="R447" s="85"/>
      <c r="S447" s="85"/>
      <c r="T447" s="85"/>
      <c r="U447" s="85"/>
      <c r="V447" s="85"/>
      <c r="W447" s="85"/>
      <c r="X447" s="85"/>
      <c r="Y447" s="85"/>
      <c r="Z447" s="85"/>
      <c r="AA447" s="85"/>
    </row>
    <row r="448" spans="1:27" s="196" customFormat="1">
      <c r="A448" s="85"/>
      <c r="B448" s="86">
        <v>534</v>
      </c>
      <c r="C448" s="87"/>
      <c r="D448" s="88" t="s">
        <v>294</v>
      </c>
      <c r="E448" s="88" t="s">
        <v>857</v>
      </c>
      <c r="F448" s="88" t="s">
        <v>857</v>
      </c>
      <c r="G448" s="85"/>
      <c r="H448" s="85"/>
      <c r="I448" s="85"/>
      <c r="J448" s="85"/>
      <c r="K448" s="85"/>
      <c r="L448" s="85"/>
      <c r="M448" s="85"/>
      <c r="N448" s="85"/>
      <c r="O448" s="85"/>
      <c r="P448" s="85"/>
      <c r="Q448" s="85"/>
      <c r="R448" s="85"/>
      <c r="S448" s="85"/>
      <c r="T448" s="85"/>
      <c r="U448" s="85"/>
      <c r="V448" s="85"/>
      <c r="W448" s="85"/>
      <c r="X448" s="85"/>
      <c r="Y448" s="85"/>
      <c r="Z448" s="85"/>
      <c r="AA448" s="85"/>
    </row>
    <row r="449" spans="1:27" s="196" customFormat="1" ht="24">
      <c r="A449" s="85"/>
      <c r="B449" s="86">
        <v>535</v>
      </c>
      <c r="C449" s="87"/>
      <c r="D449" s="88" t="s">
        <v>295</v>
      </c>
      <c r="E449" s="88" t="s">
        <v>858</v>
      </c>
      <c r="F449" s="88" t="s">
        <v>858</v>
      </c>
      <c r="G449" s="85"/>
      <c r="H449" s="85"/>
      <c r="I449" s="85"/>
      <c r="J449" s="85"/>
      <c r="K449" s="85"/>
      <c r="L449" s="85"/>
      <c r="M449" s="85"/>
      <c r="N449" s="85"/>
      <c r="O449" s="85"/>
      <c r="P449" s="85"/>
      <c r="Q449" s="85"/>
      <c r="R449" s="85"/>
      <c r="S449" s="85"/>
      <c r="T449" s="85"/>
      <c r="U449" s="85"/>
      <c r="V449" s="85"/>
      <c r="W449" s="85"/>
      <c r="X449" s="85"/>
      <c r="Y449" s="85"/>
      <c r="Z449" s="85"/>
      <c r="AA449" s="85"/>
    </row>
    <row r="450" spans="1:27" s="196" customFormat="1">
      <c r="A450" s="85"/>
      <c r="B450" s="86">
        <v>536</v>
      </c>
      <c r="C450" s="87"/>
      <c r="D450" s="88" t="s">
        <v>296</v>
      </c>
      <c r="E450" s="88" t="s">
        <v>859</v>
      </c>
      <c r="F450" s="88" t="s">
        <v>859</v>
      </c>
      <c r="G450" s="85"/>
      <c r="H450" s="85"/>
      <c r="I450" s="85"/>
      <c r="J450" s="85"/>
      <c r="K450" s="85"/>
      <c r="L450" s="85"/>
      <c r="M450" s="85"/>
      <c r="N450" s="85"/>
      <c r="O450" s="85"/>
      <c r="P450" s="85"/>
      <c r="Q450" s="85"/>
      <c r="R450" s="85"/>
      <c r="S450" s="85"/>
      <c r="T450" s="85"/>
      <c r="U450" s="85"/>
      <c r="V450" s="85"/>
      <c r="W450" s="85"/>
      <c r="X450" s="85"/>
      <c r="Y450" s="85"/>
      <c r="Z450" s="85"/>
      <c r="AA450" s="85"/>
    </row>
    <row r="451" spans="1:27">
      <c r="B451" s="86">
        <v>537</v>
      </c>
      <c r="D451" s="88" t="s">
        <v>297</v>
      </c>
      <c r="E451" s="88" t="s">
        <v>860</v>
      </c>
      <c r="F451" s="88" t="s">
        <v>860</v>
      </c>
    </row>
    <row r="452" spans="1:27">
      <c r="B452" s="86">
        <v>538</v>
      </c>
      <c r="D452" s="88" t="s">
        <v>298</v>
      </c>
      <c r="E452" s="88" t="s">
        <v>861</v>
      </c>
      <c r="F452" s="88" t="s">
        <v>861</v>
      </c>
    </row>
    <row r="453" spans="1:27" ht="24">
      <c r="B453" s="86">
        <v>539</v>
      </c>
      <c r="D453" s="88" t="s">
        <v>471</v>
      </c>
      <c r="E453" s="88" t="s">
        <v>862</v>
      </c>
      <c r="F453" s="88" t="s">
        <v>862</v>
      </c>
    </row>
    <row r="454" spans="1:27" ht="48">
      <c r="A454" s="195"/>
      <c r="B454" s="86">
        <v>540</v>
      </c>
      <c r="C454" s="201" t="s">
        <v>503</v>
      </c>
      <c r="D454" s="195" t="s">
        <v>519</v>
      </c>
      <c r="E454" s="195" t="s">
        <v>863</v>
      </c>
      <c r="F454" s="195" t="s">
        <v>863</v>
      </c>
    </row>
    <row r="455" spans="1:27" ht="36">
      <c r="B455" s="86">
        <v>541</v>
      </c>
      <c r="D455" s="88" t="s">
        <v>299</v>
      </c>
      <c r="E455" s="88" t="s">
        <v>864</v>
      </c>
      <c r="F455" s="88" t="s">
        <v>864</v>
      </c>
    </row>
    <row r="456" spans="1:27">
      <c r="B456" s="86">
        <v>542</v>
      </c>
      <c r="D456" s="88" t="s">
        <v>300</v>
      </c>
      <c r="E456" s="88" t="s">
        <v>865</v>
      </c>
      <c r="F456" s="88" t="s">
        <v>865</v>
      </c>
    </row>
    <row r="457" spans="1:27">
      <c r="B457" s="86">
        <v>543</v>
      </c>
      <c r="D457" s="88" t="s">
        <v>301</v>
      </c>
      <c r="E457" s="88" t="s">
        <v>866</v>
      </c>
      <c r="F457" s="88" t="s">
        <v>866</v>
      </c>
    </row>
    <row r="458" spans="1:27">
      <c r="B458" s="86">
        <v>544</v>
      </c>
      <c r="D458" s="88" t="s">
        <v>302</v>
      </c>
      <c r="E458" s="88" t="s">
        <v>867</v>
      </c>
      <c r="F458" s="88" t="s">
        <v>867</v>
      </c>
    </row>
    <row r="459" spans="1:27" ht="24">
      <c r="B459" s="86">
        <v>545</v>
      </c>
      <c r="D459" s="88" t="s">
        <v>979</v>
      </c>
      <c r="E459" s="88" t="s">
        <v>980</v>
      </c>
      <c r="F459" s="88" t="s">
        <v>980</v>
      </c>
    </row>
    <row r="460" spans="1:27">
      <c r="B460" s="86">
        <v>546</v>
      </c>
      <c r="D460" s="88" t="s">
        <v>303</v>
      </c>
      <c r="E460" s="88" t="s">
        <v>868</v>
      </c>
      <c r="F460" s="88" t="s">
        <v>868</v>
      </c>
    </row>
    <row r="461" spans="1:27">
      <c r="B461" s="86">
        <v>547</v>
      </c>
      <c r="D461" s="88" t="s">
        <v>304</v>
      </c>
      <c r="E461" s="88" t="s">
        <v>869</v>
      </c>
      <c r="F461" s="88" t="s">
        <v>869</v>
      </c>
    </row>
    <row r="462" spans="1:27">
      <c r="B462" s="86">
        <v>548</v>
      </c>
      <c r="D462" s="88" t="s">
        <v>305</v>
      </c>
      <c r="E462" s="88" t="s">
        <v>870</v>
      </c>
      <c r="F462" s="88" t="s">
        <v>870</v>
      </c>
    </row>
    <row r="463" spans="1:27" ht="24">
      <c r="B463" s="86">
        <v>549</v>
      </c>
      <c r="D463" s="88" t="s">
        <v>1207</v>
      </c>
      <c r="E463" s="88" t="s">
        <v>1208</v>
      </c>
      <c r="F463" s="88" t="s">
        <v>1208</v>
      </c>
    </row>
    <row r="464" spans="1:27">
      <c r="B464" s="86">
        <v>550</v>
      </c>
      <c r="D464" s="88" t="s">
        <v>1209</v>
      </c>
      <c r="E464" s="88" t="s">
        <v>1210</v>
      </c>
      <c r="F464" s="88" t="s">
        <v>1210</v>
      </c>
    </row>
    <row r="465" spans="2:6" ht="24">
      <c r="B465" s="86">
        <v>551</v>
      </c>
      <c r="D465" s="88" t="s">
        <v>306</v>
      </c>
      <c r="E465" s="88" t="s">
        <v>871</v>
      </c>
      <c r="F465" s="88" t="s">
        <v>871</v>
      </c>
    </row>
    <row r="466" spans="2:6">
      <c r="B466" s="86">
        <v>552</v>
      </c>
      <c r="D466" s="88" t="s">
        <v>472</v>
      </c>
      <c r="E466" s="88" t="s">
        <v>872</v>
      </c>
      <c r="F466" s="88" t="s">
        <v>872</v>
      </c>
    </row>
    <row r="467" spans="2:6" ht="24">
      <c r="B467" s="86">
        <v>553</v>
      </c>
      <c r="D467" s="88" t="s">
        <v>307</v>
      </c>
      <c r="E467" s="88" t="s">
        <v>873</v>
      </c>
      <c r="F467" s="88" t="s">
        <v>873</v>
      </c>
    </row>
    <row r="468" spans="2:6" ht="24">
      <c r="B468" s="86">
        <v>554</v>
      </c>
      <c r="D468" s="88" t="s">
        <v>473</v>
      </c>
      <c r="E468" s="88" t="s">
        <v>874</v>
      </c>
      <c r="F468" s="88" t="s">
        <v>874</v>
      </c>
    </row>
    <row r="469" spans="2:6" ht="24">
      <c r="B469" s="86">
        <v>555</v>
      </c>
      <c r="D469" s="88" t="s">
        <v>308</v>
      </c>
      <c r="E469" s="88" t="s">
        <v>875</v>
      </c>
      <c r="F469" s="88" t="s">
        <v>875</v>
      </c>
    </row>
    <row r="470" spans="2:6">
      <c r="B470" s="86">
        <v>556</v>
      </c>
      <c r="D470" s="88" t="s">
        <v>309</v>
      </c>
      <c r="E470" s="88" t="s">
        <v>876</v>
      </c>
      <c r="F470" s="88" t="s">
        <v>876</v>
      </c>
    </row>
    <row r="471" spans="2:6">
      <c r="B471" s="86">
        <v>557</v>
      </c>
      <c r="C471" s="87" t="s">
        <v>989</v>
      </c>
      <c r="D471" s="88" t="s">
        <v>986</v>
      </c>
      <c r="E471" s="88" t="s">
        <v>987</v>
      </c>
      <c r="F471" s="88" t="s">
        <v>987</v>
      </c>
    </row>
    <row r="472" spans="2:6" ht="24">
      <c r="B472" s="86">
        <v>558</v>
      </c>
      <c r="C472" s="87" t="s">
        <v>989</v>
      </c>
      <c r="D472" s="88" t="s">
        <v>983</v>
      </c>
      <c r="E472" s="88" t="s">
        <v>988</v>
      </c>
      <c r="F472" s="88" t="s">
        <v>988</v>
      </c>
    </row>
    <row r="473" spans="2:6">
      <c r="B473" s="86">
        <v>559</v>
      </c>
      <c r="D473" s="88" t="s">
        <v>310</v>
      </c>
      <c r="E473" s="88" t="s">
        <v>877</v>
      </c>
      <c r="F473" s="88" t="s">
        <v>877</v>
      </c>
    </row>
    <row r="474" spans="2:6">
      <c r="B474" s="86">
        <v>560</v>
      </c>
      <c r="D474" s="88" t="s">
        <v>311</v>
      </c>
      <c r="E474" s="88" t="s">
        <v>878</v>
      </c>
      <c r="F474" s="88" t="s">
        <v>878</v>
      </c>
    </row>
    <row r="475" spans="2:6" ht="36">
      <c r="B475" s="86">
        <v>561</v>
      </c>
      <c r="D475" s="88" t="s">
        <v>378</v>
      </c>
      <c r="E475" s="88" t="s">
        <v>879</v>
      </c>
      <c r="F475" s="88" t="s">
        <v>879</v>
      </c>
    </row>
    <row r="476" spans="2:6">
      <c r="B476" s="86">
        <v>562</v>
      </c>
      <c r="D476" s="88" t="s">
        <v>312</v>
      </c>
      <c r="E476" s="88" t="s">
        <v>880</v>
      </c>
      <c r="F476" s="88" t="s">
        <v>880</v>
      </c>
    </row>
    <row r="477" spans="2:6">
      <c r="B477" s="86">
        <v>563</v>
      </c>
      <c r="D477" s="88" t="s">
        <v>313</v>
      </c>
      <c r="E477" s="88" t="s">
        <v>881</v>
      </c>
      <c r="F477" s="88" t="s">
        <v>881</v>
      </c>
    </row>
    <row r="478" spans="2:6">
      <c r="B478" s="86">
        <v>564</v>
      </c>
      <c r="D478" s="88" t="s">
        <v>314</v>
      </c>
      <c r="E478" s="88" t="s">
        <v>882</v>
      </c>
      <c r="F478" s="88" t="s">
        <v>882</v>
      </c>
    </row>
    <row r="479" spans="2:6">
      <c r="B479" s="86">
        <v>565</v>
      </c>
      <c r="D479" s="88" t="s">
        <v>315</v>
      </c>
      <c r="E479" s="88" t="s">
        <v>883</v>
      </c>
      <c r="F479" s="88" t="s">
        <v>883</v>
      </c>
    </row>
    <row r="480" spans="2:6">
      <c r="B480" s="86">
        <v>566</v>
      </c>
      <c r="D480" s="88" t="s">
        <v>316</v>
      </c>
      <c r="E480" s="88" t="s">
        <v>884</v>
      </c>
      <c r="F480" s="88" t="s">
        <v>884</v>
      </c>
    </row>
    <row r="481" spans="2:6" ht="36">
      <c r="B481" s="86">
        <v>567</v>
      </c>
      <c r="D481" s="88" t="s">
        <v>317</v>
      </c>
      <c r="E481" s="88" t="s">
        <v>885</v>
      </c>
      <c r="F481" s="88" t="s">
        <v>885</v>
      </c>
    </row>
    <row r="482" spans="2:6" ht="24">
      <c r="B482" s="86">
        <v>568</v>
      </c>
      <c r="D482" s="88" t="s">
        <v>318</v>
      </c>
      <c r="E482" s="88" t="s">
        <v>886</v>
      </c>
      <c r="F482" s="88" t="s">
        <v>886</v>
      </c>
    </row>
    <row r="483" spans="2:6">
      <c r="B483" s="86">
        <v>569</v>
      </c>
      <c r="D483" s="88" t="s">
        <v>319</v>
      </c>
      <c r="E483" s="88" t="s">
        <v>887</v>
      </c>
      <c r="F483" s="88" t="s">
        <v>887</v>
      </c>
    </row>
    <row r="484" spans="2:6">
      <c r="B484" s="86">
        <v>570</v>
      </c>
      <c r="D484" s="88" t="s">
        <v>320</v>
      </c>
      <c r="E484" s="88" t="s">
        <v>888</v>
      </c>
      <c r="F484" s="88" t="s">
        <v>888</v>
      </c>
    </row>
    <row r="485" spans="2:6" ht="24">
      <c r="B485" s="86">
        <v>571</v>
      </c>
      <c r="D485" s="88" t="s">
        <v>474</v>
      </c>
      <c r="E485" s="88" t="s">
        <v>889</v>
      </c>
      <c r="F485" s="88" t="s">
        <v>889</v>
      </c>
    </row>
    <row r="486" spans="2:6">
      <c r="B486" s="86">
        <v>572</v>
      </c>
      <c r="D486" s="88" t="s">
        <v>321</v>
      </c>
      <c r="E486" s="88" t="s">
        <v>890</v>
      </c>
      <c r="F486" s="88" t="s">
        <v>890</v>
      </c>
    </row>
    <row r="487" spans="2:6">
      <c r="B487" s="86">
        <v>573</v>
      </c>
      <c r="D487" s="88" t="s">
        <v>322</v>
      </c>
      <c r="E487" s="88" t="s">
        <v>891</v>
      </c>
      <c r="F487" s="88" t="s">
        <v>891</v>
      </c>
    </row>
    <row r="488" spans="2:6">
      <c r="B488" s="86">
        <v>574</v>
      </c>
      <c r="D488" s="88" t="s">
        <v>1223</v>
      </c>
      <c r="E488" s="88" t="s">
        <v>1224</v>
      </c>
      <c r="F488" s="88" t="s">
        <v>1224</v>
      </c>
    </row>
    <row r="489" spans="2:6">
      <c r="B489" s="86">
        <v>575</v>
      </c>
      <c r="D489" s="88" t="s">
        <v>1217</v>
      </c>
      <c r="E489" s="88" t="s">
        <v>1218</v>
      </c>
      <c r="F489" s="88" t="s">
        <v>1218</v>
      </c>
    </row>
    <row r="490" spans="2:6">
      <c r="B490" s="86">
        <v>576</v>
      </c>
      <c r="D490" s="88" t="s">
        <v>323</v>
      </c>
      <c r="E490" s="88" t="s">
        <v>892</v>
      </c>
      <c r="F490" s="88" t="s">
        <v>892</v>
      </c>
    </row>
    <row r="491" spans="2:6">
      <c r="B491" s="86">
        <v>577</v>
      </c>
      <c r="D491" s="88" t="s">
        <v>475</v>
      </c>
      <c r="E491" s="88" t="s">
        <v>893</v>
      </c>
      <c r="F491" s="88" t="s">
        <v>893</v>
      </c>
    </row>
    <row r="492" spans="2:6" ht="36">
      <c r="B492" s="86">
        <v>578</v>
      </c>
      <c r="D492" s="88" t="s">
        <v>476</v>
      </c>
      <c r="E492" s="88" t="s">
        <v>894</v>
      </c>
      <c r="F492" s="88" t="s">
        <v>894</v>
      </c>
    </row>
    <row r="493" spans="2:6">
      <c r="B493" s="86">
        <v>579</v>
      </c>
      <c r="D493" s="88" t="s">
        <v>324</v>
      </c>
      <c r="E493" s="88" t="s">
        <v>895</v>
      </c>
      <c r="F493" s="88" t="s">
        <v>895</v>
      </c>
    </row>
    <row r="494" spans="2:6">
      <c r="B494" s="86">
        <v>580</v>
      </c>
      <c r="D494" s="88" t="s">
        <v>325</v>
      </c>
      <c r="E494" s="88" t="s">
        <v>896</v>
      </c>
      <c r="F494" s="88" t="s">
        <v>896</v>
      </c>
    </row>
    <row r="495" spans="2:6">
      <c r="B495" s="86">
        <v>581</v>
      </c>
      <c r="C495" s="87" t="s">
        <v>580</v>
      </c>
      <c r="D495" s="85" t="s">
        <v>575</v>
      </c>
      <c r="E495" s="199" t="s">
        <v>566</v>
      </c>
      <c r="F495" s="199" t="s">
        <v>566</v>
      </c>
    </row>
    <row r="496" spans="2:6">
      <c r="B496" s="86">
        <v>582</v>
      </c>
      <c r="C496" s="87" t="s">
        <v>580</v>
      </c>
      <c r="D496" s="88" t="s">
        <v>573</v>
      </c>
      <c r="E496" s="199" t="s">
        <v>564</v>
      </c>
      <c r="F496" s="199" t="s">
        <v>564</v>
      </c>
    </row>
    <row r="497" spans="1:6">
      <c r="B497" s="86">
        <v>583</v>
      </c>
      <c r="D497" s="88" t="s">
        <v>326</v>
      </c>
      <c r="E497" s="88" t="s">
        <v>897</v>
      </c>
      <c r="F497" s="88" t="s">
        <v>897</v>
      </c>
    </row>
    <row r="498" spans="1:6" ht="36">
      <c r="B498" s="86">
        <v>584</v>
      </c>
      <c r="D498" s="88" t="s">
        <v>327</v>
      </c>
      <c r="E498" s="88" t="s">
        <v>898</v>
      </c>
      <c r="F498" s="88" t="s">
        <v>898</v>
      </c>
    </row>
    <row r="499" spans="1:6">
      <c r="B499" s="86">
        <v>585</v>
      </c>
      <c r="D499" s="88" t="s">
        <v>328</v>
      </c>
      <c r="E499" s="88" t="s">
        <v>899</v>
      </c>
      <c r="F499" s="88" t="s">
        <v>899</v>
      </c>
    </row>
    <row r="500" spans="1:6">
      <c r="A500" s="196"/>
      <c r="B500" s="86">
        <v>586</v>
      </c>
      <c r="C500" s="197" t="s">
        <v>485</v>
      </c>
      <c r="D500" s="195" t="s">
        <v>491</v>
      </c>
      <c r="E500" s="195" t="s">
        <v>900</v>
      </c>
      <c r="F500" s="195" t="s">
        <v>900</v>
      </c>
    </row>
    <row r="501" spans="1:6">
      <c r="A501" s="196"/>
      <c r="B501" s="86">
        <v>587</v>
      </c>
      <c r="C501" s="197" t="s">
        <v>485</v>
      </c>
      <c r="D501" s="195" t="s">
        <v>520</v>
      </c>
      <c r="E501" s="195" t="s">
        <v>901</v>
      </c>
      <c r="F501" s="195" t="s">
        <v>901</v>
      </c>
    </row>
    <row r="502" spans="1:6">
      <c r="B502" s="86">
        <v>588</v>
      </c>
      <c r="D502" s="88" t="s">
        <v>329</v>
      </c>
      <c r="E502" s="195" t="s">
        <v>902</v>
      </c>
      <c r="F502" s="195" t="s">
        <v>902</v>
      </c>
    </row>
    <row r="503" spans="1:6">
      <c r="B503" s="86">
        <v>589</v>
      </c>
      <c r="D503" s="88" t="s">
        <v>330</v>
      </c>
      <c r="E503" s="88" t="s">
        <v>903</v>
      </c>
      <c r="F503" s="88" t="s">
        <v>903</v>
      </c>
    </row>
    <row r="504" spans="1:6">
      <c r="B504" s="86">
        <v>590</v>
      </c>
      <c r="D504" s="88" t="s">
        <v>331</v>
      </c>
      <c r="E504" s="88" t="s">
        <v>904</v>
      </c>
      <c r="F504" s="88" t="s">
        <v>904</v>
      </c>
    </row>
    <row r="505" spans="1:6" ht="24">
      <c r="B505" s="86">
        <v>591</v>
      </c>
      <c r="D505" s="88" t="s">
        <v>332</v>
      </c>
      <c r="E505" s="88" t="s">
        <v>905</v>
      </c>
      <c r="F505" s="88" t="s">
        <v>905</v>
      </c>
    </row>
    <row r="506" spans="1:6">
      <c r="B506" s="86">
        <v>592</v>
      </c>
      <c r="D506" s="88" t="s">
        <v>333</v>
      </c>
      <c r="E506" s="88" t="s">
        <v>906</v>
      </c>
      <c r="F506" s="88" t="s">
        <v>906</v>
      </c>
    </row>
    <row r="507" spans="1:6" ht="36">
      <c r="B507" s="86">
        <v>593</v>
      </c>
      <c r="D507" s="88" t="s">
        <v>334</v>
      </c>
      <c r="E507" s="88" t="s">
        <v>907</v>
      </c>
      <c r="F507" s="88" t="s">
        <v>907</v>
      </c>
    </row>
    <row r="508" spans="1:6">
      <c r="B508" s="86">
        <v>594</v>
      </c>
      <c r="D508" s="88" t="s">
        <v>335</v>
      </c>
      <c r="E508" s="88" t="s">
        <v>1005</v>
      </c>
      <c r="F508" s="88" t="s">
        <v>1005</v>
      </c>
    </row>
    <row r="509" spans="1:6">
      <c r="B509" s="86">
        <v>595</v>
      </c>
      <c r="D509" s="88" t="s">
        <v>336</v>
      </c>
      <c r="E509" s="88" t="s">
        <v>908</v>
      </c>
      <c r="F509" s="88" t="s">
        <v>908</v>
      </c>
    </row>
    <row r="510" spans="1:6">
      <c r="B510" s="86">
        <v>596</v>
      </c>
      <c r="D510" s="88" t="s">
        <v>337</v>
      </c>
      <c r="E510" s="88" t="s">
        <v>909</v>
      </c>
      <c r="F510" s="88" t="s">
        <v>909</v>
      </c>
    </row>
    <row r="511" spans="1:6">
      <c r="B511" s="86">
        <v>597</v>
      </c>
      <c r="D511" s="88" t="s">
        <v>338</v>
      </c>
      <c r="E511" s="88" t="s">
        <v>910</v>
      </c>
      <c r="F511" s="88" t="s">
        <v>910</v>
      </c>
    </row>
    <row r="512" spans="1:6">
      <c r="B512" s="86">
        <v>598</v>
      </c>
      <c r="D512" s="88" t="s">
        <v>339</v>
      </c>
      <c r="E512" s="88" t="s">
        <v>911</v>
      </c>
      <c r="F512" s="88" t="s">
        <v>911</v>
      </c>
    </row>
    <row r="513" spans="2:6">
      <c r="B513" s="86">
        <v>599</v>
      </c>
      <c r="D513" s="88" t="s">
        <v>340</v>
      </c>
      <c r="E513" s="88" t="s">
        <v>912</v>
      </c>
      <c r="F513" s="88" t="s">
        <v>912</v>
      </c>
    </row>
    <row r="514" spans="2:6">
      <c r="B514" s="86">
        <v>600</v>
      </c>
      <c r="D514" s="88" t="s">
        <v>341</v>
      </c>
      <c r="E514" s="88" t="s">
        <v>341</v>
      </c>
      <c r="F514" s="88" t="s">
        <v>341</v>
      </c>
    </row>
    <row r="515" spans="2:6">
      <c r="B515" s="86">
        <v>601</v>
      </c>
      <c r="D515" s="88" t="s">
        <v>477</v>
      </c>
      <c r="E515" s="88" t="s">
        <v>913</v>
      </c>
      <c r="F515" s="88" t="s">
        <v>913</v>
      </c>
    </row>
    <row r="516" spans="2:6" ht="24">
      <c r="B516" s="86">
        <v>602</v>
      </c>
      <c r="D516" s="88" t="s">
        <v>342</v>
      </c>
      <c r="E516" s="88" t="s">
        <v>914</v>
      </c>
      <c r="F516" s="88" t="s">
        <v>914</v>
      </c>
    </row>
    <row r="517" spans="2:6">
      <c r="B517" s="86">
        <v>603</v>
      </c>
      <c r="D517" s="88" t="s">
        <v>343</v>
      </c>
      <c r="E517" s="88" t="s">
        <v>343</v>
      </c>
      <c r="F517" s="88" t="s">
        <v>343</v>
      </c>
    </row>
    <row r="518" spans="2:6">
      <c r="B518" s="86">
        <v>604</v>
      </c>
      <c r="D518" s="88" t="s">
        <v>1178</v>
      </c>
      <c r="E518" s="88" t="s">
        <v>1180</v>
      </c>
      <c r="F518" s="88" t="s">
        <v>1180</v>
      </c>
    </row>
    <row r="519" spans="2:6">
      <c r="B519" s="86">
        <v>605</v>
      </c>
      <c r="D519" s="88" t="s">
        <v>1177</v>
      </c>
      <c r="E519" s="88" t="s">
        <v>1179</v>
      </c>
      <c r="F519" s="88" t="s">
        <v>1179</v>
      </c>
    </row>
    <row r="520" spans="2:6">
      <c r="B520" s="86">
        <v>606</v>
      </c>
      <c r="D520" s="88" t="s">
        <v>478</v>
      </c>
      <c r="F520" s="88"/>
    </row>
    <row r="521" spans="2:6">
      <c r="B521" s="86">
        <v>607</v>
      </c>
      <c r="D521" s="88" t="s">
        <v>344</v>
      </c>
      <c r="E521" s="88" t="s">
        <v>915</v>
      </c>
      <c r="F521" s="88" t="s">
        <v>915</v>
      </c>
    </row>
    <row r="522" spans="2:6">
      <c r="B522" s="86">
        <v>608</v>
      </c>
      <c r="C522" s="87" t="s">
        <v>989</v>
      </c>
      <c r="D522" s="88" t="s">
        <v>993</v>
      </c>
      <c r="E522" s="88" t="s">
        <v>994</v>
      </c>
      <c r="F522" s="88" t="s">
        <v>994</v>
      </c>
    </row>
    <row r="523" spans="2:6">
      <c r="B523" s="86">
        <v>609</v>
      </c>
      <c r="D523" s="88" t="s">
        <v>479</v>
      </c>
      <c r="E523" s="88" t="s">
        <v>916</v>
      </c>
      <c r="F523" s="88" t="s">
        <v>916</v>
      </c>
    </row>
    <row r="524" spans="2:6">
      <c r="B524" s="86">
        <v>610</v>
      </c>
      <c r="D524" s="88" t="s">
        <v>480</v>
      </c>
      <c r="E524" s="88" t="s">
        <v>917</v>
      </c>
      <c r="F524" s="88" t="s">
        <v>917</v>
      </c>
    </row>
    <row r="525" spans="2:6">
      <c r="B525" s="86">
        <v>611</v>
      </c>
      <c r="D525" s="88" t="s">
        <v>481</v>
      </c>
      <c r="E525" s="88" t="s">
        <v>916</v>
      </c>
      <c r="F525" s="88" t="s">
        <v>916</v>
      </c>
    </row>
    <row r="526" spans="2:6">
      <c r="B526" s="86">
        <v>612</v>
      </c>
      <c r="D526" s="88" t="s">
        <v>345</v>
      </c>
      <c r="E526" s="88" t="s">
        <v>527</v>
      </c>
      <c r="F526" s="88" t="s">
        <v>527</v>
      </c>
    </row>
    <row r="527" spans="2:6">
      <c r="B527" s="86">
        <v>613</v>
      </c>
      <c r="D527" s="88" t="s">
        <v>346</v>
      </c>
      <c r="E527" s="88" t="s">
        <v>918</v>
      </c>
      <c r="F527" s="88" t="s">
        <v>918</v>
      </c>
    </row>
    <row r="528" spans="2:6">
      <c r="B528" s="86">
        <v>614</v>
      </c>
      <c r="D528" s="88" t="s">
        <v>347</v>
      </c>
      <c r="E528" s="88" t="s">
        <v>919</v>
      </c>
      <c r="F528" s="88" t="s">
        <v>919</v>
      </c>
    </row>
    <row r="529" spans="1:6">
      <c r="B529" s="86">
        <v>615</v>
      </c>
      <c r="D529" s="88" t="s">
        <v>1252</v>
      </c>
      <c r="E529" s="88" t="s">
        <v>1254</v>
      </c>
      <c r="F529" s="88" t="s">
        <v>1254</v>
      </c>
    </row>
    <row r="530" spans="1:6">
      <c r="B530" s="86">
        <v>616</v>
      </c>
      <c r="D530" s="88" t="s">
        <v>1251</v>
      </c>
      <c r="E530" s="88" t="s">
        <v>1253</v>
      </c>
      <c r="F530" s="88" t="s">
        <v>1253</v>
      </c>
    </row>
    <row r="531" spans="1:6" ht="24">
      <c r="B531" s="86">
        <v>617</v>
      </c>
      <c r="C531" s="87" t="s">
        <v>1079</v>
      </c>
      <c r="D531" s="88" t="s">
        <v>1120</v>
      </c>
      <c r="E531" s="88" t="s">
        <v>1083</v>
      </c>
      <c r="F531" s="88" t="s">
        <v>1083</v>
      </c>
    </row>
    <row r="532" spans="1:6" ht="36">
      <c r="B532" s="86">
        <v>618</v>
      </c>
      <c r="C532" s="87" t="s">
        <v>1079</v>
      </c>
      <c r="D532" s="88" t="s">
        <v>1136</v>
      </c>
      <c r="E532" s="88" t="s">
        <v>1100</v>
      </c>
      <c r="F532" s="88" t="s">
        <v>1100</v>
      </c>
    </row>
    <row r="533" spans="1:6">
      <c r="B533" s="86">
        <v>619</v>
      </c>
      <c r="D533" s="88" t="s">
        <v>348</v>
      </c>
      <c r="E533" s="88" t="s">
        <v>920</v>
      </c>
      <c r="F533" s="88" t="s">
        <v>920</v>
      </c>
    </row>
    <row r="534" spans="1:6">
      <c r="B534" s="86">
        <v>620</v>
      </c>
      <c r="D534" s="88" t="s">
        <v>1184</v>
      </c>
      <c r="E534" s="88" t="s">
        <v>1185</v>
      </c>
      <c r="F534" s="88" t="s">
        <v>1185</v>
      </c>
    </row>
    <row r="535" spans="1:6">
      <c r="B535" s="86">
        <v>621</v>
      </c>
      <c r="D535" s="88" t="s">
        <v>1061</v>
      </c>
      <c r="E535" s="88" t="s">
        <v>1061</v>
      </c>
      <c r="F535" s="88" t="s">
        <v>1061</v>
      </c>
    </row>
    <row r="536" spans="1:6">
      <c r="B536" s="86">
        <v>622</v>
      </c>
      <c r="D536" s="88" t="s">
        <v>349</v>
      </c>
      <c r="F536" s="88"/>
    </row>
    <row r="537" spans="1:6">
      <c r="B537" s="86">
        <v>623</v>
      </c>
      <c r="D537" s="88" t="s">
        <v>350</v>
      </c>
      <c r="F537" s="88"/>
    </row>
    <row r="538" spans="1:6">
      <c r="B538" s="86">
        <v>624</v>
      </c>
      <c r="D538" s="88" t="s">
        <v>1059</v>
      </c>
      <c r="E538" s="88" t="s">
        <v>1060</v>
      </c>
      <c r="F538" s="88" t="s">
        <v>1060</v>
      </c>
    </row>
    <row r="539" spans="1:6">
      <c r="B539" s="86">
        <v>625</v>
      </c>
      <c r="D539" s="88" t="s">
        <v>351</v>
      </c>
      <c r="E539" s="88" t="s">
        <v>921</v>
      </c>
      <c r="F539" s="88" t="s">
        <v>921</v>
      </c>
    </row>
    <row r="540" spans="1:6">
      <c r="B540" s="86">
        <v>626</v>
      </c>
      <c r="D540" s="88" t="s">
        <v>482</v>
      </c>
      <c r="E540" s="88" t="s">
        <v>922</v>
      </c>
      <c r="F540" s="88" t="s">
        <v>922</v>
      </c>
    </row>
    <row r="541" spans="1:6">
      <c r="B541" s="86">
        <v>627</v>
      </c>
      <c r="D541" s="88" t="s">
        <v>352</v>
      </c>
      <c r="E541" s="88" t="s">
        <v>923</v>
      </c>
      <c r="F541" s="88" t="s">
        <v>923</v>
      </c>
    </row>
    <row r="542" spans="1:6">
      <c r="B542" s="86">
        <v>628</v>
      </c>
      <c r="D542" s="88" t="s">
        <v>410</v>
      </c>
      <c r="E542" s="88" t="s">
        <v>924</v>
      </c>
      <c r="F542" s="88" t="s">
        <v>924</v>
      </c>
    </row>
    <row r="543" spans="1:6">
      <c r="B543" s="86">
        <v>629</v>
      </c>
      <c r="D543" s="88" t="s">
        <v>353</v>
      </c>
      <c r="E543" s="88" t="s">
        <v>923</v>
      </c>
      <c r="F543" s="88" t="s">
        <v>923</v>
      </c>
    </row>
    <row r="544" spans="1:6" ht="24">
      <c r="A544" s="195"/>
      <c r="B544" s="86">
        <v>630</v>
      </c>
      <c r="C544" s="195"/>
      <c r="D544" s="195" t="s">
        <v>521</v>
      </c>
      <c r="E544" s="195" t="s">
        <v>925</v>
      </c>
      <c r="F544" s="195" t="s">
        <v>925</v>
      </c>
    </row>
    <row r="545" spans="2:6">
      <c r="B545" s="86">
        <v>631</v>
      </c>
      <c r="C545" s="87" t="s">
        <v>1079</v>
      </c>
      <c r="D545" s="88" t="s">
        <v>1117</v>
      </c>
      <c r="E545" s="88" t="s">
        <v>1078</v>
      </c>
      <c r="F545" s="88" t="s">
        <v>1078</v>
      </c>
    </row>
    <row r="546" spans="2:6">
      <c r="B546" s="86">
        <v>632</v>
      </c>
      <c r="C546" s="87" t="s">
        <v>1079</v>
      </c>
      <c r="D546" s="88" t="s">
        <v>1378</v>
      </c>
      <c r="E546" s="88" t="s">
        <v>1379</v>
      </c>
      <c r="F546" s="88" t="s">
        <v>1379</v>
      </c>
    </row>
    <row r="547" spans="2:6">
      <c r="B547" s="86">
        <v>633</v>
      </c>
      <c r="D547" s="88" t="s">
        <v>354</v>
      </c>
      <c r="E547" s="88" t="s">
        <v>354</v>
      </c>
      <c r="F547" s="88" t="s">
        <v>354</v>
      </c>
    </row>
    <row r="548" spans="2:6">
      <c r="B548" s="86">
        <v>634</v>
      </c>
      <c r="D548" s="88" t="s">
        <v>355</v>
      </c>
      <c r="E548" s="88" t="s">
        <v>926</v>
      </c>
      <c r="F548" s="88" t="s">
        <v>926</v>
      </c>
    </row>
    <row r="549" spans="2:6">
      <c r="B549" s="86">
        <v>635</v>
      </c>
      <c r="D549" s="88" t="s">
        <v>356</v>
      </c>
      <c r="E549" s="88" t="s">
        <v>927</v>
      </c>
      <c r="F549" s="88" t="s">
        <v>927</v>
      </c>
    </row>
    <row r="550" spans="2:6">
      <c r="B550" s="86">
        <v>636</v>
      </c>
      <c r="D550" s="88" t="s">
        <v>483</v>
      </c>
      <c r="E550" s="88" t="s">
        <v>928</v>
      </c>
      <c r="F550" s="88" t="s">
        <v>928</v>
      </c>
    </row>
    <row r="551" spans="2:6" ht="24">
      <c r="B551" s="86">
        <v>637</v>
      </c>
      <c r="C551" s="87" t="s">
        <v>1079</v>
      </c>
      <c r="D551" s="88" t="s">
        <v>1138</v>
      </c>
      <c r="E551" s="88" t="s">
        <v>1137</v>
      </c>
      <c r="F551" s="88" t="s">
        <v>1137</v>
      </c>
    </row>
    <row r="552" spans="2:6">
      <c r="B552" s="86">
        <v>638</v>
      </c>
      <c r="D552" s="88" t="s">
        <v>357</v>
      </c>
      <c r="E552" s="88" t="s">
        <v>929</v>
      </c>
      <c r="F552" s="88" t="s">
        <v>929</v>
      </c>
    </row>
    <row r="553" spans="2:6" ht="36">
      <c r="B553" s="86">
        <v>639</v>
      </c>
      <c r="C553" s="87" t="s">
        <v>1079</v>
      </c>
      <c r="D553" s="88" t="s">
        <v>1147</v>
      </c>
      <c r="E553" s="88" t="s">
        <v>1107</v>
      </c>
      <c r="F553" s="88" t="s">
        <v>1107</v>
      </c>
    </row>
    <row r="554" spans="2:6">
      <c r="B554" s="86">
        <v>640</v>
      </c>
      <c r="D554" s="88" t="s">
        <v>358</v>
      </c>
      <c r="E554" s="88" t="s">
        <v>930</v>
      </c>
      <c r="F554" s="88" t="s">
        <v>930</v>
      </c>
    </row>
    <row r="555" spans="2:6">
      <c r="B555" s="86">
        <v>641</v>
      </c>
      <c r="D555" s="88" t="s">
        <v>359</v>
      </c>
      <c r="E555" s="88" t="s">
        <v>931</v>
      </c>
      <c r="F555" s="88" t="s">
        <v>931</v>
      </c>
    </row>
    <row r="556" spans="2:6">
      <c r="B556" s="86">
        <v>642</v>
      </c>
      <c r="D556" s="88" t="s">
        <v>484</v>
      </c>
      <c r="E556" s="88" t="s">
        <v>932</v>
      </c>
      <c r="F556" s="88" t="s">
        <v>932</v>
      </c>
    </row>
    <row r="557" spans="2:6" ht="24">
      <c r="B557" s="86">
        <v>643</v>
      </c>
      <c r="D557" s="88" t="s">
        <v>360</v>
      </c>
      <c r="E557" s="88" t="s">
        <v>933</v>
      </c>
      <c r="F557" s="88" t="s">
        <v>933</v>
      </c>
    </row>
    <row r="558" spans="2:6">
      <c r="B558" s="86">
        <v>644</v>
      </c>
      <c r="D558" s="88" t="s">
        <v>361</v>
      </c>
      <c r="E558" s="88" t="s">
        <v>931</v>
      </c>
      <c r="F558" s="88" t="s">
        <v>931</v>
      </c>
    </row>
    <row r="559" spans="2:6">
      <c r="B559" s="86">
        <v>645</v>
      </c>
      <c r="D559" s="88" t="s">
        <v>362</v>
      </c>
      <c r="E559" s="88" t="s">
        <v>934</v>
      </c>
      <c r="F559" s="88" t="s">
        <v>934</v>
      </c>
    </row>
    <row r="560" spans="2:6">
      <c r="B560" s="86">
        <v>646</v>
      </c>
      <c r="D560" s="88" t="s">
        <v>363</v>
      </c>
      <c r="E560" s="88" t="s">
        <v>935</v>
      </c>
      <c r="F560" s="88" t="s">
        <v>935</v>
      </c>
    </row>
    <row r="561" spans="2:27">
      <c r="B561" s="86">
        <v>647</v>
      </c>
      <c r="D561" s="88" t="s">
        <v>364</v>
      </c>
      <c r="E561" s="88" t="s">
        <v>936</v>
      </c>
      <c r="F561" s="88" t="s">
        <v>936</v>
      </c>
    </row>
    <row r="562" spans="2:27">
      <c r="B562" s="86">
        <v>648</v>
      </c>
      <c r="D562" s="88" t="s">
        <v>365</v>
      </c>
      <c r="E562" s="88" t="s">
        <v>937</v>
      </c>
      <c r="F562" s="88" t="s">
        <v>937</v>
      </c>
      <c r="G562" s="195"/>
      <c r="H562" s="195"/>
      <c r="I562" s="195"/>
      <c r="J562" s="195"/>
      <c r="K562" s="195"/>
      <c r="L562" s="195"/>
      <c r="M562" s="195"/>
      <c r="N562" s="195"/>
      <c r="O562" s="195"/>
      <c r="P562" s="195"/>
      <c r="Q562" s="195"/>
      <c r="R562" s="195"/>
      <c r="S562" s="195"/>
      <c r="T562" s="195"/>
      <c r="U562" s="195"/>
      <c r="V562" s="195"/>
      <c r="W562" s="195"/>
      <c r="X562" s="195"/>
      <c r="Y562" s="195"/>
      <c r="Z562" s="195"/>
      <c r="AA562" s="195"/>
    </row>
    <row r="563" spans="2:27" ht="24">
      <c r="B563" s="86">
        <v>649</v>
      </c>
      <c r="D563" s="88" t="s">
        <v>366</v>
      </c>
      <c r="E563" s="88" t="s">
        <v>938</v>
      </c>
      <c r="F563" s="88" t="s">
        <v>938</v>
      </c>
      <c r="G563" s="195"/>
      <c r="H563" s="195"/>
      <c r="I563" s="195"/>
      <c r="J563" s="195"/>
      <c r="K563" s="195"/>
      <c r="L563" s="195"/>
      <c r="M563" s="195"/>
      <c r="N563" s="195"/>
      <c r="O563" s="195"/>
      <c r="P563" s="195"/>
      <c r="Q563" s="195"/>
      <c r="R563" s="195"/>
      <c r="S563" s="195"/>
      <c r="T563" s="195"/>
      <c r="U563" s="195"/>
      <c r="V563" s="195"/>
      <c r="W563" s="195"/>
      <c r="X563" s="195"/>
      <c r="Y563" s="195"/>
      <c r="Z563" s="195"/>
      <c r="AA563" s="195"/>
    </row>
    <row r="564" spans="2:27">
      <c r="B564" s="86">
        <v>650</v>
      </c>
      <c r="D564" s="88" t="s">
        <v>367</v>
      </c>
      <c r="E564" s="88" t="s">
        <v>930</v>
      </c>
      <c r="F564" s="88" t="s">
        <v>930</v>
      </c>
      <c r="G564" s="196"/>
      <c r="H564" s="196"/>
      <c r="I564" s="196"/>
      <c r="J564" s="196"/>
      <c r="K564" s="196"/>
      <c r="L564" s="196"/>
      <c r="M564" s="196"/>
      <c r="N564" s="196"/>
      <c r="O564" s="196"/>
      <c r="P564" s="196"/>
      <c r="Q564" s="196"/>
      <c r="R564" s="196"/>
      <c r="S564" s="196"/>
      <c r="T564" s="196"/>
      <c r="U564" s="196"/>
      <c r="V564" s="196"/>
      <c r="W564" s="196"/>
      <c r="X564" s="196"/>
      <c r="Y564" s="196"/>
      <c r="Z564" s="196"/>
      <c r="AA564" s="196"/>
    </row>
    <row r="565" spans="2:27" ht="24">
      <c r="B565" s="86">
        <v>651</v>
      </c>
      <c r="C565" s="87" t="s">
        <v>1079</v>
      </c>
      <c r="D565" s="88" t="s">
        <v>1139</v>
      </c>
      <c r="E565" s="88" t="s">
        <v>1101</v>
      </c>
      <c r="F565" s="88" t="s">
        <v>1101</v>
      </c>
    </row>
    <row r="566" spans="2:27" ht="24">
      <c r="B566" s="86">
        <v>652</v>
      </c>
      <c r="D566" s="88" t="s">
        <v>368</v>
      </c>
      <c r="E566" s="88" t="s">
        <v>939</v>
      </c>
      <c r="F566" s="88" t="s">
        <v>939</v>
      </c>
      <c r="G566" s="196"/>
      <c r="H566" s="196"/>
      <c r="I566" s="196"/>
      <c r="J566" s="196"/>
      <c r="K566" s="196"/>
      <c r="L566" s="196"/>
      <c r="M566" s="196"/>
      <c r="N566" s="196"/>
      <c r="O566" s="196"/>
      <c r="P566" s="196"/>
      <c r="Q566" s="196"/>
      <c r="R566" s="196"/>
      <c r="S566" s="196"/>
      <c r="T566" s="196"/>
      <c r="U566" s="196"/>
      <c r="V566" s="196"/>
      <c r="W566" s="196"/>
      <c r="X566" s="196"/>
      <c r="Y566" s="196"/>
      <c r="Z566" s="196"/>
      <c r="AA566" s="196"/>
    </row>
    <row r="567" spans="2:27" ht="36">
      <c r="B567" s="86">
        <v>653</v>
      </c>
      <c r="D567" s="88" t="s">
        <v>369</v>
      </c>
      <c r="E567" s="88" t="s">
        <v>940</v>
      </c>
      <c r="F567" s="88" t="s">
        <v>940</v>
      </c>
      <c r="G567" s="196"/>
      <c r="H567" s="196"/>
      <c r="I567" s="196"/>
      <c r="J567" s="196"/>
      <c r="K567" s="196"/>
      <c r="L567" s="196"/>
      <c r="M567" s="196"/>
      <c r="N567" s="196"/>
      <c r="O567" s="196"/>
      <c r="P567" s="196"/>
      <c r="Q567" s="196"/>
      <c r="R567" s="196"/>
      <c r="S567" s="196"/>
      <c r="T567" s="196"/>
      <c r="U567" s="196"/>
      <c r="V567" s="196"/>
      <c r="W567" s="196"/>
      <c r="X567" s="196"/>
      <c r="Y567" s="196"/>
      <c r="Z567" s="196"/>
      <c r="AA567" s="196"/>
    </row>
    <row r="568" spans="2:27">
      <c r="B568" s="86">
        <v>654</v>
      </c>
      <c r="D568" s="88" t="s">
        <v>370</v>
      </c>
      <c r="E568" s="88" t="s">
        <v>941</v>
      </c>
      <c r="F568" s="88" t="s">
        <v>941</v>
      </c>
      <c r="G568" s="196"/>
      <c r="H568" s="196"/>
      <c r="I568" s="196"/>
      <c r="J568" s="196"/>
      <c r="K568" s="196"/>
      <c r="L568" s="196"/>
      <c r="M568" s="196"/>
      <c r="N568" s="196"/>
      <c r="O568" s="196"/>
      <c r="P568" s="196"/>
      <c r="Q568" s="196"/>
      <c r="R568" s="196"/>
      <c r="S568" s="196"/>
      <c r="T568" s="196"/>
      <c r="U568" s="196"/>
      <c r="V568" s="196"/>
      <c r="W568" s="196"/>
      <c r="X568" s="196"/>
      <c r="Y568" s="196"/>
      <c r="Z568" s="196"/>
      <c r="AA568" s="196"/>
    </row>
    <row r="569" spans="2:27" ht="36">
      <c r="B569" s="86">
        <v>655</v>
      </c>
      <c r="D569" s="88" t="s">
        <v>371</v>
      </c>
      <c r="E569" s="88" t="s">
        <v>942</v>
      </c>
      <c r="F569" s="88" t="s">
        <v>942</v>
      </c>
      <c r="G569" s="196"/>
      <c r="H569" s="196"/>
      <c r="I569" s="196"/>
      <c r="J569" s="196"/>
      <c r="K569" s="196"/>
      <c r="L569" s="196"/>
      <c r="M569" s="196"/>
      <c r="N569" s="196"/>
      <c r="O569" s="196"/>
      <c r="P569" s="196"/>
      <c r="Q569" s="196"/>
      <c r="R569" s="196"/>
      <c r="S569" s="196"/>
      <c r="T569" s="196"/>
      <c r="U569" s="196"/>
      <c r="V569" s="196"/>
      <c r="W569" s="196"/>
      <c r="X569" s="196"/>
      <c r="Y569" s="196"/>
      <c r="Z569" s="196"/>
      <c r="AA569" s="196"/>
    </row>
    <row r="570" spans="2:27">
      <c r="B570" s="86">
        <v>656</v>
      </c>
      <c r="D570" s="88" t="s">
        <v>372</v>
      </c>
      <c r="E570" s="88" t="s">
        <v>943</v>
      </c>
      <c r="F570" s="88" t="s">
        <v>943</v>
      </c>
      <c r="G570" s="196"/>
      <c r="H570" s="196"/>
      <c r="I570" s="196"/>
      <c r="J570" s="196"/>
      <c r="K570" s="196"/>
      <c r="L570" s="196"/>
      <c r="M570" s="196"/>
      <c r="N570" s="196"/>
      <c r="O570" s="196"/>
      <c r="P570" s="196"/>
      <c r="Q570" s="196"/>
      <c r="R570" s="196"/>
      <c r="S570" s="196"/>
      <c r="T570" s="196"/>
      <c r="U570" s="196"/>
      <c r="V570" s="196"/>
      <c r="W570" s="196"/>
      <c r="X570" s="196"/>
      <c r="Y570" s="196"/>
      <c r="Z570" s="196"/>
      <c r="AA570" s="196"/>
    </row>
    <row r="571" spans="2:27">
      <c r="B571" s="86">
        <v>657</v>
      </c>
      <c r="D571" s="88" t="s">
        <v>373</v>
      </c>
      <c r="E571" s="88" t="s">
        <v>944</v>
      </c>
      <c r="F571" s="88" t="s">
        <v>944</v>
      </c>
      <c r="G571" s="196"/>
      <c r="H571" s="196"/>
      <c r="I571" s="196"/>
      <c r="J571" s="196"/>
      <c r="K571" s="196"/>
      <c r="L571" s="196"/>
      <c r="M571" s="196"/>
      <c r="N571" s="196"/>
      <c r="O571" s="196"/>
      <c r="P571" s="196"/>
      <c r="Q571" s="196"/>
      <c r="R571" s="196"/>
      <c r="S571" s="196"/>
      <c r="T571" s="196"/>
      <c r="U571" s="196"/>
      <c r="V571" s="196"/>
      <c r="W571" s="196"/>
      <c r="X571" s="196"/>
      <c r="Y571" s="196"/>
      <c r="Z571" s="196"/>
      <c r="AA571" s="196"/>
    </row>
    <row r="572" spans="2:27">
      <c r="B572" s="86">
        <v>658</v>
      </c>
      <c r="D572" s="88" t="s">
        <v>374</v>
      </c>
      <c r="E572" s="88" t="s">
        <v>945</v>
      </c>
      <c r="F572" s="88" t="s">
        <v>945</v>
      </c>
      <c r="G572" s="196"/>
      <c r="H572" s="196"/>
      <c r="I572" s="196"/>
      <c r="J572" s="196"/>
      <c r="K572" s="196"/>
      <c r="L572" s="196"/>
      <c r="M572" s="196"/>
      <c r="N572" s="196"/>
      <c r="O572" s="196"/>
      <c r="P572" s="196"/>
      <c r="Q572" s="196"/>
      <c r="R572" s="196"/>
      <c r="S572" s="196"/>
      <c r="T572" s="196"/>
      <c r="U572" s="196"/>
      <c r="V572" s="196"/>
      <c r="W572" s="196"/>
      <c r="X572" s="196"/>
      <c r="Y572" s="196"/>
      <c r="Z572" s="196"/>
      <c r="AA572" s="196"/>
    </row>
    <row r="573" spans="2:27">
      <c r="B573" s="86">
        <v>659</v>
      </c>
      <c r="D573" s="88" t="s">
        <v>375</v>
      </c>
      <c r="E573" s="88" t="s">
        <v>946</v>
      </c>
      <c r="F573" s="88" t="s">
        <v>946</v>
      </c>
      <c r="G573" s="196"/>
      <c r="H573" s="196"/>
      <c r="I573" s="196"/>
      <c r="J573" s="196"/>
      <c r="K573" s="196"/>
      <c r="L573" s="196"/>
      <c r="M573" s="196"/>
      <c r="N573" s="196"/>
      <c r="O573" s="196"/>
      <c r="P573" s="196"/>
      <c r="Q573" s="196"/>
      <c r="R573" s="196"/>
      <c r="S573" s="196"/>
      <c r="T573" s="196"/>
      <c r="U573" s="196"/>
      <c r="V573" s="196"/>
      <c r="W573" s="196"/>
      <c r="X573" s="196"/>
      <c r="Y573" s="196"/>
      <c r="Z573" s="196"/>
      <c r="AA573" s="196"/>
    </row>
    <row r="574" spans="2:27">
      <c r="B574" s="86">
        <v>660</v>
      </c>
      <c r="D574" s="88" t="s">
        <v>376</v>
      </c>
      <c r="E574" s="88" t="s">
        <v>947</v>
      </c>
      <c r="F574" s="88" t="s">
        <v>947</v>
      </c>
      <c r="G574" s="196"/>
      <c r="H574" s="196"/>
      <c r="I574" s="196"/>
      <c r="J574" s="196"/>
      <c r="K574" s="196"/>
      <c r="L574" s="196"/>
      <c r="M574" s="196"/>
      <c r="N574" s="196"/>
      <c r="O574" s="196"/>
      <c r="P574" s="196"/>
      <c r="Q574" s="196"/>
      <c r="R574" s="196"/>
      <c r="S574" s="196"/>
      <c r="T574" s="196"/>
      <c r="U574" s="196"/>
      <c r="V574" s="196"/>
      <c r="W574" s="196"/>
      <c r="X574" s="196"/>
      <c r="Y574" s="196"/>
      <c r="Z574" s="196"/>
      <c r="AA574" s="196"/>
    </row>
    <row r="575" spans="2:27">
      <c r="B575" s="86">
        <v>661</v>
      </c>
      <c r="D575" s="88" t="s">
        <v>377</v>
      </c>
      <c r="E575" s="88" t="s">
        <v>948</v>
      </c>
      <c r="F575" s="88" t="s">
        <v>948</v>
      </c>
      <c r="G575" s="196"/>
      <c r="H575" s="196"/>
      <c r="I575" s="196"/>
      <c r="J575" s="196"/>
      <c r="K575" s="196"/>
      <c r="L575" s="196"/>
      <c r="M575" s="196"/>
      <c r="N575" s="196"/>
      <c r="O575" s="196"/>
      <c r="P575" s="196"/>
      <c r="Q575" s="196"/>
      <c r="R575" s="196"/>
      <c r="S575" s="196"/>
      <c r="T575" s="196"/>
      <c r="U575" s="196"/>
      <c r="V575" s="196"/>
      <c r="W575" s="196"/>
      <c r="X575" s="196"/>
      <c r="Y575" s="196"/>
      <c r="Z575" s="196"/>
      <c r="AA575" s="196"/>
    </row>
  </sheetData>
  <sortState ref="A14:AA575">
    <sortCondition ref="D14:D575"/>
  </sortState>
  <phoneticPr fontId="2"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34</vt:i4>
      </vt:variant>
    </vt:vector>
  </HeadingPairs>
  <TitlesOfParts>
    <vt:vector size="40" baseType="lpstr">
      <vt:lpstr>Help</vt: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uni2u</cp:lastModifiedBy>
  <cp:lastPrinted>2021-01-28T07:19:38Z</cp:lastPrinted>
  <dcterms:created xsi:type="dcterms:W3CDTF">2018-02-18T09:45:14Z</dcterms:created>
  <dcterms:modified xsi:type="dcterms:W3CDTF">2021-02-08T08:50:58Z</dcterms:modified>
</cp:coreProperties>
</file>